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CL TCERS" sheetId="1" state="visible" r:id="rId2"/>
    <sheet name="RREO Anexo 5 - Resultado Nominal" sheetId="2" state="visible" r:id="rId3"/>
  </sheets>
  <definedNames>
    <definedName function="false" hidden="false" localSheetId="1" name="Cancela" vbProcedure="false">,</definedName>
    <definedName function="false" hidden="false" localSheetId="1" name="dsfrw" vbProcedure="false">,</definedName>
    <definedName function="false" hidden="false" localSheetId="1" name="fdsafs" vbProcedure="false">,</definedName>
    <definedName function="false" hidden="false" localSheetId="1" name="fdsf" vbProcedure="false"/>
    <definedName function="false" hidden="false" localSheetId="1" name="fsdfs" vbProcedure="false"/>
    <definedName function="false" hidden="false" localSheetId="1" name="Plan" vbProcedure="false"/>
    <definedName function="false" hidden="false" localSheetId="1" name="Planilha" vbProcedure="false"/>
    <definedName function="false" hidden="false" localSheetId="1" name="Planilha1" vbProcedure="false">,</definedName>
    <definedName function="false" hidden="false" localSheetId="1" name="Planilhas" vbProcedure="false"/>
    <definedName function="false" hidden="false" localSheetId="1" name="Planilha_1" vbProcedure="false">,</definedName>
    <definedName function="false" hidden="false" localSheetId="1" name="Planilha_1CabGráfico" vbProcedure="false"/>
    <definedName function="false" hidden="false" localSheetId="1" name="Planilha_1TítCols" vbProcedure="false">,</definedName>
    <definedName function="false" hidden="false" localSheetId="1" name="Planilha_1TítLins" vbProcedure="false"/>
    <definedName function="false" hidden="false" localSheetId="1" name="Planilha_1ÁreaTotal" vbProcedure="false">,</definedName>
    <definedName function="false" hidden="false" localSheetId="1" name="Planilha_2CabGráfico" vbProcedure="false"/>
    <definedName function="false" hidden="false" localSheetId="1" name="Planilha_2TítCols" vbProcedure="false">,</definedName>
    <definedName function="false" hidden="false" localSheetId="1" name="Planilha_2TítLins" vbProcedure="false"/>
    <definedName function="false" hidden="false" localSheetId="1" name="Planilha_2ÁreaTotal" vbProcedure="false">,</definedName>
    <definedName function="false" hidden="false" localSheetId="1" name="Planilha_3CabGráfico" vbProcedure="false"/>
    <definedName function="false" hidden="false" localSheetId="1" name="Planilha_3TítCols" vbProcedure="false">,</definedName>
    <definedName function="false" hidden="false" localSheetId="1" name="Planilha_3TítLins" vbProcedure="false"/>
    <definedName function="false" hidden="false" localSheetId="1" name="Planilha_3ÁreaTotal" vbProcedure="false">,</definedName>
    <definedName function="false" hidden="false" localSheetId="1" name="Planilha_4TítCols" vbProcedure="false">,</definedName>
    <definedName function="false" hidden="false" localSheetId="1" name="Planilha_4ÁreaTotal" vbProcedure="false">,</definedName>
    <definedName function="false" hidden="false" localSheetId="1" name="Planilha_Educação" vbProcedure="false">,</definedName>
    <definedName function="false" hidden="false" localSheetId="1" name="rgps" vbProcedure="false"/>
    <definedName function="false" hidden="false" localSheetId="1" name="RGPS1" vbProcedure="false"/>
    <definedName function="false" hidden="false" localSheetId="1" name="RGPS2" vbProcedure="false">,</definedName>
    <definedName function="false" hidden="false" localSheetId="1" name="xxx" vbProcedure="false">,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<sst xmlns="http://schemas.openxmlformats.org/spreadsheetml/2006/main" count="483" uniqueCount="362">
  <si>
    <t xml:space="preserve">Discriminação</t>
  </si>
  <si>
    <t xml:space="preserve">Codificação</t>
  </si>
  <si>
    <t xml:space="preserve">(1) DÍVIDA CONSOLIDADA OU FUNDADA</t>
  </si>
  <si>
    <t xml:space="preserve">Precatórios de Pessoal – Regime Especial – a partir de 05/05/2000 – Vencidos e não pagos</t>
  </si>
  <si>
    <t xml:space="preserve">2.1.1.1.1.04.02.00.00.00</t>
  </si>
  <si>
    <t xml:space="preserve">Precatórios de Pessoal – Regime Ordinário – a partir de 05/05/2000 – Vencidos e não pagos</t>
  </si>
  <si>
    <t xml:space="preserve">2.1.1.1.1.05.02.00.00.00</t>
  </si>
  <si>
    <t xml:space="preserve">Precatórios de Benefícios Previdenciários – Regime Especial – a partir de 05/05/2000 – Vencidos e não pagos</t>
  </si>
  <si>
    <t xml:space="preserve">2.1.1.2.1.04.02.00.00.00</t>
  </si>
  <si>
    <t xml:space="preserve">Precatórios de Benefícios Previdenciários – Regime Ordinário – a partir de 05/05/2000 – Vencidos e não pagos</t>
  </si>
  <si>
    <t xml:space="preserve">2.1.1.2.1.05.02.00.00.00</t>
  </si>
  <si>
    <t xml:space="preserve">Precatórios de Benefícios Assistenciais – Regime Especial – a partir de 05/05/2000 – Vencidos e não pagos</t>
  </si>
  <si>
    <t xml:space="preserve">2.1.1.3.1.03.02.00.00.00</t>
  </si>
  <si>
    <t xml:space="preserve">Precatórios de Benefícios Assistenciais – Regime Ordinário – a partir de 05/05/2000 – Vencidos e não pagos</t>
  </si>
  <si>
    <t xml:space="preserve">2.1.1.3.1.04.02.00.00.00</t>
  </si>
  <si>
    <t xml:space="preserve">Contribuições ao RGPS – Débito Parcelado</t>
  </si>
  <si>
    <t xml:space="preserve">2.1.1.4.1.01.02.00.00.00</t>
  </si>
  <si>
    <t xml:space="preserve">2.1.1.4.3.01.02.00.00.00</t>
  </si>
  <si>
    <t xml:space="preserve">Contribuições Previdenciárias – Débito Parcelado</t>
  </si>
  <si>
    <t xml:space="preserve">2.1.1.4.1.06.00.00.00.00</t>
  </si>
  <si>
    <t xml:space="preserve">2.1.1.4.3.06.00.00.00.00</t>
  </si>
  <si>
    <t xml:space="preserve">2.1.1.4.4.06.00.00.00.00</t>
  </si>
  <si>
    <t xml:space="preserve">2.1.1.4.5.06.00.00.00.00</t>
  </si>
  <si>
    <t xml:space="preserve">Contribuições Sociais – Débito Parcelado</t>
  </si>
  <si>
    <t xml:space="preserve">2.1.1.4.1.07.00.00.00.00</t>
  </si>
  <si>
    <t xml:space="preserve">2.1.1.4.3.07.00.00.00.00</t>
  </si>
  <si>
    <t xml:space="preserve">Empréstimos Internos – Em títulos</t>
  </si>
  <si>
    <t xml:space="preserve">2.1.2.1.1.01.00.00.00.00</t>
  </si>
  <si>
    <t xml:space="preserve">2.1.2.1.3.01.00.00.00.00</t>
  </si>
  <si>
    <t xml:space="preserve">2.1.2.1.4.01.00.00.00.00</t>
  </si>
  <si>
    <t xml:space="preserve">2.1.2.1.5.01.00.00.00.00</t>
  </si>
  <si>
    <t xml:space="preserve">Contratos de Empréstimos Internos</t>
  </si>
  <si>
    <t xml:space="preserve">2.1.2.1.1.02.01.00.00.00</t>
  </si>
  <si>
    <t xml:space="preserve">2.1.2.1.3.02.01.00.00.00</t>
  </si>
  <si>
    <t xml:space="preserve">2.1.2.1.4.02.01.00.00.00</t>
  </si>
  <si>
    <t xml:space="preserve">2.1.2.1.5.02.01.00.00.00</t>
  </si>
  <si>
    <t xml:space="preserve">Outros Contratos – Empréstimos Internos</t>
  </si>
  <si>
    <t xml:space="preserve">2.1.2.1.1.02.98.00.00.00</t>
  </si>
  <si>
    <t xml:space="preserve">2.1.2.1.3.02.98.00.00.00</t>
  </si>
  <si>
    <t xml:space="preserve">2.1.2.1.4.02.98.00.00.00</t>
  </si>
  <si>
    <t xml:space="preserve">2.1.2.1.5.02.98.00.00.00</t>
  </si>
  <si>
    <t xml:space="preserve">Outros Empréstimos a Curto Prazo – Interno</t>
  </si>
  <si>
    <t xml:space="preserve">2.1.2.1.1.03.00.00.00.00</t>
  </si>
  <si>
    <t xml:space="preserve">2.1.2.1.4.03.00.00.00.00</t>
  </si>
  <si>
    <t xml:space="preserve">2.1.2.1.5.03.00.00.00.00</t>
  </si>
  <si>
    <t xml:space="preserve">Empréstimos do RPPS a Pagar</t>
  </si>
  <si>
    <t xml:space="preserve">2.1.2.1.2.02.01.00.00.00</t>
  </si>
  <si>
    <t xml:space="preserve">Programa de Apoio à Reestruturação e ao Ajuste Fiscal dos Estados</t>
  </si>
  <si>
    <t xml:space="preserve">2.1.2.1.3.04.00.00.00.00</t>
  </si>
  <si>
    <t xml:space="preserve">Programa de Apoio à Reestruturação e ao Ajuste Fiscal dos Município</t>
  </si>
  <si>
    <t xml:space="preserve">2.1.2.1.3.05.00.00.00.00</t>
  </si>
  <si>
    <t xml:space="preserve">2.1.2.1.3.99.00.00.00.00</t>
  </si>
  <si>
    <t xml:space="preserve">Empréstimos a Curto Prazo – Externo Consolidação</t>
  </si>
  <si>
    <t xml:space="preserve">2.1.2.2.1.00.00.00.00.00</t>
  </si>
  <si>
    <t xml:space="preserve">Financiamentos a Curto Prazo – Interno</t>
  </si>
  <si>
    <t xml:space="preserve">2.1.2.3.1.00.00.00.00.00</t>
  </si>
  <si>
    <t xml:space="preserve">2.1.2.3.3.00.00.00.00.00</t>
  </si>
  <si>
    <t xml:space="preserve">2.1.2.3.4.00.00.00.00.00</t>
  </si>
  <si>
    <t xml:space="preserve">2.1.2.3.5.00.00.00.00.00</t>
  </si>
  <si>
    <t xml:space="preserve">Financiamentos a Curto Prazo – Externo – Consolidação</t>
  </si>
  <si>
    <t xml:space="preserve">2.1.2.4.1.00.00.00.00.00</t>
  </si>
  <si>
    <t xml:space="preserve">Juros e Encargos a Pagar de Empréstimos e Financiamentos a Curto Prazo – Interno</t>
  </si>
  <si>
    <t xml:space="preserve">2.1.2.5.1.00.00.00.00.00</t>
  </si>
  <si>
    <t xml:space="preserve">2.1.2.5.3.00.00.00.00.00</t>
  </si>
  <si>
    <t xml:space="preserve">2.1.2.5.4.00.00.00.00.00</t>
  </si>
  <si>
    <t xml:space="preserve">2.1.2.5.5.00.00.00.00.00</t>
  </si>
  <si>
    <t xml:space="preserve">Juros e Encargos a Pagar de Empréstimos e Financiamentos a Curto Prazo – Externo – Consolidação</t>
  </si>
  <si>
    <t xml:space="preserve">2.1.2.6.1.00.00.00.00.00</t>
  </si>
  <si>
    <t xml:space="preserve">(-) Encargos Financeiros a Apropriar – Interno</t>
  </si>
  <si>
    <t xml:space="preserve">2.1.2.8.1.00.00.00.00.00</t>
  </si>
  <si>
    <t xml:space="preserve">2.1.2.8.3.00.00.00.00.00</t>
  </si>
  <si>
    <t xml:space="preserve">2.1.2.8.4.00.00.00.00.00</t>
  </si>
  <si>
    <t xml:space="preserve">(-) Encargos Financeiros a Apropriar – Consolidação</t>
  </si>
  <si>
    <t xml:space="preserve">2.1.2.9.1.00.00.00.00.00</t>
  </si>
  <si>
    <t xml:space="preserve">Fornecedores Financiados a Pagar</t>
  </si>
  <si>
    <t xml:space="preserve">2.1.3.1.1.01.02.00.00.00</t>
  </si>
  <si>
    <t xml:space="preserve">Parcelamento de Fornecedores a Pagar</t>
  </si>
  <si>
    <t xml:space="preserve">2.1.3.1.1.01.03.00.00.00</t>
  </si>
  <si>
    <t xml:space="preserve">Contas Financiadas a Pagar</t>
  </si>
  <si>
    <t xml:space="preserve">2.1.3.1.1.03.02.00.00.00</t>
  </si>
  <si>
    <t xml:space="preserve">Parcelamento de Contas a Pagar</t>
  </si>
  <si>
    <t xml:space="preserve">2.1.3.1.1.03.03.00.00.00</t>
  </si>
  <si>
    <t xml:space="preserve">Precatórios de Fornecedores Nacionais – Regime Especial – a partir de 05/05/2000 – Vencidos e não pagos</t>
  </si>
  <si>
    <t xml:space="preserve">2.1.3.1.1.05.02.00.00.00</t>
  </si>
  <si>
    <t xml:space="preserve">Precatórios de Fornecedores Nacionais – Regime Ordinário – a partir de 05/05/2000 – Vencidos e não pagos</t>
  </si>
  <si>
    <t xml:space="preserve">2.1.3.1.1.06.02.00.00.00</t>
  </si>
  <si>
    <t xml:space="preserve">Precatórios de Contas a Pagar – Regime Especial – a partir de 05/05/2000 – Vencidos e não pagos</t>
  </si>
  <si>
    <t xml:space="preserve">2.1.3.1.1.07.02.00.00.00</t>
  </si>
  <si>
    <t xml:space="preserve">Precatórios de Contas a Pagar – Regime Ordinário – a partir de 05/05/2000 – Vencidos e não pagos</t>
  </si>
  <si>
    <t xml:space="preserve">2.1.3.1.1.08.02.00.00.00</t>
  </si>
  <si>
    <t xml:space="preserve">2.1.3.2.1.01.02.00.00.00</t>
  </si>
  <si>
    <t xml:space="preserve">2.1.3.2.1.01.03.00.00.00</t>
  </si>
  <si>
    <t xml:space="preserve">2.1.3.2.1.02.02.00.00.00</t>
  </si>
  <si>
    <t xml:space="preserve">2.1.3.2.1.02.03.00.00.00</t>
  </si>
  <si>
    <t xml:space="preserve">Tributos Federais Renegociados</t>
  </si>
  <si>
    <t xml:space="preserve">2.1.4.1.1.12.00.00.00.00</t>
  </si>
  <si>
    <t xml:space="preserve">2.1.4.1.2.12.00.00.00.00</t>
  </si>
  <si>
    <t xml:space="preserve">2.1.4.1.3.12.00.00.00.00</t>
  </si>
  <si>
    <t xml:space="preserve">Tributos Estaduais Renegociados</t>
  </si>
  <si>
    <t xml:space="preserve">2.1.4.2.1.03.00.00.00.00</t>
  </si>
  <si>
    <t xml:space="preserve">2.1.4.2.2.03.00.00.00.00</t>
  </si>
  <si>
    <t xml:space="preserve">2.1.4.2.4.03.00.00.00.00</t>
  </si>
  <si>
    <t xml:space="preserve">Tributos Municipais Renegociados</t>
  </si>
  <si>
    <t xml:space="preserve">2.1.4.3.1.03.00.00.00.00</t>
  </si>
  <si>
    <t xml:space="preserve">2.1.4.3.2.03.00.00.00.00</t>
  </si>
  <si>
    <t xml:space="preserve">2.1.4.3.5.03.00.00.00.00</t>
  </si>
  <si>
    <t xml:space="preserve">Adiantamentos de Clientes – Consolidação</t>
  </si>
  <si>
    <t xml:space="preserve">2.1.8.1.1.00.00.00.00.00</t>
  </si>
  <si>
    <t xml:space="preserve">Debêntures e Outros Títulos de Dívida a Curto Prazo – Consolidação</t>
  </si>
  <si>
    <t xml:space="preserve">2.1.8.4.1.00.00.00.00.00</t>
  </si>
  <si>
    <t xml:space="preserve">2.2.1.1.1.03.02.00.00.00</t>
  </si>
  <si>
    <t xml:space="preserve">2.2.1.1.1.04.02.00.00.00</t>
  </si>
  <si>
    <t xml:space="preserve">2.2.1.2.1.02.02.00.00.00</t>
  </si>
  <si>
    <t xml:space="preserve">2.2.1.2.1.03.02.00.00.00</t>
  </si>
  <si>
    <t xml:space="preserve">2.2.1.3.1.02.02.00.00.00</t>
  </si>
  <si>
    <t xml:space="preserve">2.2.1.3.1.03.02.00.00.00</t>
  </si>
  <si>
    <t xml:space="preserve">2.2.1.4.1.01.00.00.00.00</t>
  </si>
  <si>
    <t xml:space="preserve">2.2.1.4.1.02.00.00.00.00</t>
  </si>
  <si>
    <t xml:space="preserve">2.2.1.4.3.02.00.00.00.00</t>
  </si>
  <si>
    <t xml:space="preserve">FGTS – Débito Parcelado</t>
  </si>
  <si>
    <t xml:space="preserve">2.2.1.4.1.03.00.00.00.00</t>
  </si>
  <si>
    <t xml:space="preserve">INSS – Débito Parcelado</t>
  </si>
  <si>
    <t xml:space="preserve">2.2.1.4.3.01.01.00.00.00</t>
  </si>
  <si>
    <t xml:space="preserve">Empréstimos a Longo Prazo – Interno – Consolidação</t>
  </si>
  <si>
    <t xml:space="preserve">2.2.2.1.1.00.00.00.00.00</t>
  </si>
  <si>
    <t xml:space="preserve">2.2.2.1.4.00.00.00.00.00</t>
  </si>
  <si>
    <t xml:space="preserve">2.2.2.1.5.00.00.00.00.00</t>
  </si>
  <si>
    <t xml:space="preserve">2.2.2.1.2.02.01.00.00.00</t>
  </si>
  <si>
    <t xml:space="preserve">2.2.2.1.3.01.00.00.00.00</t>
  </si>
  <si>
    <t xml:space="preserve">Empréstimos Internos – Em contratos</t>
  </si>
  <si>
    <t xml:space="preserve">2.2.2.1.3.02.00.00.00.00</t>
  </si>
  <si>
    <t xml:space="preserve">2.2.2.1.3.04.00.00.00.00</t>
  </si>
  <si>
    <t xml:space="preserve">2.2.2.1.3.05.00.00.00.00</t>
  </si>
  <si>
    <t xml:space="preserve">Empréstimos a Longo Prazo – Externo Consolidação</t>
  </si>
  <si>
    <t xml:space="preserve">2.2.2.2.1.00.00.00.00.00</t>
  </si>
  <si>
    <t xml:space="preserve">Financiamentos a Longo Prazo – Interno</t>
  </si>
  <si>
    <t xml:space="preserve">2.2.2.3.1.00.00.00.00.00</t>
  </si>
  <si>
    <t xml:space="preserve">2.2.2.3.3.00.00.00.00.00</t>
  </si>
  <si>
    <t xml:space="preserve">2.2.2.3.4.00.00.00.00.00</t>
  </si>
  <si>
    <t xml:space="preserve">2.2.2.3.5.00.00.00.00.00</t>
  </si>
  <si>
    <t xml:space="preserve">Financiamento a Longo Prazo – Externo – Consolidação</t>
  </si>
  <si>
    <t xml:space="preserve">2.2.2.4.1.00.00.00.00.00</t>
  </si>
  <si>
    <t xml:space="preserve">Juros e Encargos a Pagar de Empréstimos e Financiamentos a Longo Prazo – Interno</t>
  </si>
  <si>
    <t xml:space="preserve">2.2.2.5.1.00.00.00.00.00</t>
  </si>
  <si>
    <t xml:space="preserve">2.2.2.5.3.00.00.00.00.00</t>
  </si>
  <si>
    <t xml:space="preserve">2.2.2.5.4.00.00.00.00.00</t>
  </si>
  <si>
    <t xml:space="preserve">2.2.2.5.5.00.00.00.00.00</t>
  </si>
  <si>
    <t xml:space="preserve">Juros e Encargos a Pagar de Empréstimos e Financiamentos a Longo Prazo – Externo – Consolidação</t>
  </si>
  <si>
    <t xml:space="preserve">2.2.2.6.1.00.00.00.00.00</t>
  </si>
  <si>
    <t xml:space="preserve">2.2.2.8.1.00.00.00.00.00</t>
  </si>
  <si>
    <t xml:space="preserve">2.2.2.8.3.00.00.00.00.00</t>
  </si>
  <si>
    <t xml:space="preserve">2.2.2.8.4.00.00.00.00.00</t>
  </si>
  <si>
    <t xml:space="preserve">2.2.2.8.5.00.00.00.00.00</t>
  </si>
  <si>
    <t xml:space="preserve">(-) Encargos Prefixados de Empréstimos Externos</t>
  </si>
  <si>
    <t xml:space="preserve">2.2.2.9.1.01.00.00.00.00</t>
  </si>
  <si>
    <t xml:space="preserve">2.2.3.1.1.01.02.00.00.00</t>
  </si>
  <si>
    <t xml:space="preserve">2.2.3.1.1.01.03.00.00.00</t>
  </si>
  <si>
    <t xml:space="preserve">2.2.3.1.1.04.02.00.00.00</t>
  </si>
  <si>
    <t xml:space="preserve">2.2.3.1.1.05.02.00.00.00</t>
  </si>
  <si>
    <t xml:space="preserve">2.2.3.1.1.06.02.00.00.00</t>
  </si>
  <si>
    <t xml:space="preserve">2.2.3.1.1.07.02.00.00.00</t>
  </si>
  <si>
    <t xml:space="preserve">2.2.3.2.1.01.02.00.00.00</t>
  </si>
  <si>
    <t xml:space="preserve">2.2.3.2.1.01.03.00.00.00</t>
  </si>
  <si>
    <t xml:space="preserve">2.2.4.1.1.02.00.00.00.00</t>
  </si>
  <si>
    <t xml:space="preserve">2.2.4.1.2.02.00.00.00.00</t>
  </si>
  <si>
    <t xml:space="preserve">2.2.4.1.3.02.00.00.00.00</t>
  </si>
  <si>
    <t xml:space="preserve">2.2.4.2.1.01.00.00.00.00</t>
  </si>
  <si>
    <t xml:space="preserve">2.2.4.2.2.01.00.00.00.00</t>
  </si>
  <si>
    <t xml:space="preserve">2.2.4.2.4.01.00.00.00.00</t>
  </si>
  <si>
    <t xml:space="preserve">2.2.4.3.1.01.00.00.00.00</t>
  </si>
  <si>
    <t xml:space="preserve">2.2.4.3.2.01.00.00.00.00</t>
  </si>
  <si>
    <t xml:space="preserve">2.2.4.3.5.01.00.00.00.00</t>
  </si>
  <si>
    <t xml:space="preserve">Debêntures e Outros Títulos de Dívida a Longo Prazo – Consolidação</t>
  </si>
  <si>
    <t xml:space="preserve">2.2.8.3.1.00.00.00.00.00</t>
  </si>
  <si>
    <t xml:space="preserve">Operação de Crédito Contratada pelo Consórcio Público</t>
  </si>
  <si>
    <t xml:space="preserve">8.5.3.6.0.00.00.00.00.00</t>
  </si>
  <si>
    <t xml:space="preserve">(2) DEDUÇÕES</t>
  </si>
  <si>
    <t xml:space="preserve">(3) DISPONIBILIDADE DE CAIXA BRUTA</t>
  </si>
  <si>
    <t xml:space="preserve">Conta Única</t>
  </si>
  <si>
    <t xml:space="preserve">1.1.1.1.1.02.00.00.00.00</t>
  </si>
  <si>
    <t xml:space="preserve">Bancos Conta Movimento – Demais Contas</t>
  </si>
  <si>
    <t xml:space="preserve">1.1.1.1.1.19.00.00.00.00</t>
  </si>
  <si>
    <t xml:space="preserve">Rede Bancária – Arrecadação</t>
  </si>
  <si>
    <t xml:space="preserve">1.1.1.1.1.30.00.00.00.00</t>
  </si>
  <si>
    <t xml:space="preserve">Aplicações Financeiras de Liquidez Imediata</t>
  </si>
  <si>
    <t xml:space="preserve">1.1.1.1.1.50.00.00.00.00</t>
  </si>
  <si>
    <t xml:space="preserve">Caixa e Equivalente de Caixa em Moeda Estrangeira – Consolidação</t>
  </si>
  <si>
    <t xml:space="preserve">1.1.1.2.1.00.00.00.00.00</t>
  </si>
  <si>
    <t xml:space="preserve">(4) RESTOS A PAGAR PROCESSADOS</t>
  </si>
  <si>
    <t xml:space="preserve">Restos a Pagar Processados</t>
  </si>
  <si>
    <t xml:space="preserve">6.3.2.1.0.00.00.00.00.00</t>
  </si>
  <si>
    <t xml:space="preserve">(5) DEMAIS HAVERES FINANCEIROS</t>
  </si>
  <si>
    <t xml:space="preserve">Empréstimos Concedidos</t>
  </si>
  <si>
    <t xml:space="preserve">1.1.2.4.1.01.00.00.00.00</t>
  </si>
  <si>
    <t xml:space="preserve">1.1.2.4.3.01.00.00.00.00</t>
  </si>
  <si>
    <t xml:space="preserve">1.1.2.4.4.01.00.00.00.00</t>
  </si>
  <si>
    <t xml:space="preserve">1.1.2.4.5.01.00.00.00.00</t>
  </si>
  <si>
    <t xml:space="preserve">Financiamentos Concedidos</t>
  </si>
  <si>
    <t xml:space="preserve">1.1.2.4.1.02.00.00.00.00</t>
  </si>
  <si>
    <t xml:space="preserve">1.1.2.4.3.02.00.00.00.00</t>
  </si>
  <si>
    <t xml:space="preserve">1.1.2.4.4.02.00.00.00.00</t>
  </si>
  <si>
    <t xml:space="preserve">1.1.2.4.5.02.00.00.00.00</t>
  </si>
  <si>
    <t xml:space="preserve">Juros e Encargos sobre Empréstimos e Financiamentos Concedidos a Receber</t>
  </si>
  <si>
    <t xml:space="preserve">1.1.2.4.1.03.00.00.00.00</t>
  </si>
  <si>
    <t xml:space="preserve">1.1.2.4.3.03.00.00.00.00</t>
  </si>
  <si>
    <t xml:space="preserve">1.1.2.4.4.03.00.00.00.00</t>
  </si>
  <si>
    <t xml:space="preserve">1.1.2.4.5.03.00.00.00.00</t>
  </si>
  <si>
    <t xml:space="preserve">(-) Perdas Estimadas em Créditos de Empréstimos e Financiamentos Concedidos</t>
  </si>
  <si>
    <t xml:space="preserve">1.1.2.9.1.03.00.00.00.00</t>
  </si>
  <si>
    <t xml:space="preserve">1.1.2.9.2.03.00.00.00.00</t>
  </si>
  <si>
    <t xml:space="preserve">1.1.2.9.3.03.00.00.00.00</t>
  </si>
  <si>
    <t xml:space="preserve">1.1.2.9.4.03.00.00.00.00</t>
  </si>
  <si>
    <t xml:space="preserve">1.1.2.9.5.03.00.00.00.00</t>
  </si>
  <si>
    <t xml:space="preserve">Títulos Públicos</t>
  </si>
  <si>
    <t xml:space="preserve">1.1.4.1.1.01.00.00.00.00</t>
  </si>
  <si>
    <t xml:space="preserve">Ações</t>
  </si>
  <si>
    <t xml:space="preserve">1.1.4.1.1.02.00.00.00.00</t>
  </si>
  <si>
    <t xml:space="preserve">Derivativos</t>
  </si>
  <si>
    <t xml:space="preserve">1.1.4.1.1.03.00.00.00.00</t>
  </si>
  <si>
    <t xml:space="preserve">Fundo de Aplicações em Cotas – Renda Variável</t>
  </si>
  <si>
    <t xml:space="preserve">1.1.4.1.1.15.00.00.00.00</t>
  </si>
  <si>
    <t xml:space="preserve">Outros Títulos e Valores Mobiliários</t>
  </si>
  <si>
    <t xml:space="preserve">1.1.4.1.1.99.00.00.00.00</t>
  </si>
  <si>
    <t xml:space="preserve">Aplicação Temporária em Metais Preciosos – Consolidação</t>
  </si>
  <si>
    <t xml:space="preserve">1.1.4.2.1.00.00.00.00.00</t>
  </si>
  <si>
    <t xml:space="preserve">Aplicações em Segmento de Imóveis – Consolidação</t>
  </si>
  <si>
    <t xml:space="preserve">1.1.4.3.1.00.00.00.00.00</t>
  </si>
  <si>
    <t xml:space="preserve">(-) Ajuste de Perdas de Investimentos e Aplicações Temporárias – Consolidação</t>
  </si>
  <si>
    <t xml:space="preserve">1.1.4.9.1.00.00.00.00.00</t>
  </si>
  <si>
    <t xml:space="preserve">Empréstimos Concedidos a Receber</t>
  </si>
  <si>
    <t xml:space="preserve">1.2.1.1.1.03.01.00.00.00</t>
  </si>
  <si>
    <t xml:space="preserve">Financiamentos Concedidos a Receber</t>
  </si>
  <si>
    <t xml:space="preserve">1.2.1.1.1.03.02.00.00.00</t>
  </si>
  <si>
    <t xml:space="preserve">(-) Ajuste de Perdas de Empréstimos e Financiamentos Concedidos</t>
  </si>
  <si>
    <t xml:space="preserve">1.2.1.1.1.99.03.00.00.00</t>
  </si>
  <si>
    <t xml:space="preserve">Empréstimos e Financiamentos Concedidos</t>
  </si>
  <si>
    <t xml:space="preserve">1.2.1.1.3.03.00.00.00.00</t>
  </si>
  <si>
    <t xml:space="preserve">(-) Ajuste de Perdas de Créditos a Longo Prazo</t>
  </si>
  <si>
    <t xml:space="preserve">1.2.1.1.3.99.00.00.00.00</t>
  </si>
  <si>
    <t xml:space="preserve">1.2.1.1.4.99.00.00.00.00</t>
  </si>
  <si>
    <t xml:space="preserve">1.2.1.1.5.99.00.00.00.00</t>
  </si>
  <si>
    <t xml:space="preserve">1.2.1.1.4.03.01.00.00.00</t>
  </si>
  <si>
    <t xml:space="preserve">1.2.1.1.5.03.01.00.00.00</t>
  </si>
  <si>
    <t xml:space="preserve">Juros e Encargos sobre Empréstimos Concedidos a Receber</t>
  </si>
  <si>
    <t xml:space="preserve">1.2.1.1.4.03.02.00.00.00</t>
  </si>
  <si>
    <t xml:space="preserve">1.2.1.1.5.03.02.00.00.00</t>
  </si>
  <si>
    <t xml:space="preserve">1.2.1.1.4.03.03.00.00.00</t>
  </si>
  <si>
    <t xml:space="preserve">1.2.1.1.5.03.03.00.00.00</t>
  </si>
  <si>
    <t xml:space="preserve">Juros e Encargos sobre Financiamentos Concedidos a Receber</t>
  </si>
  <si>
    <t xml:space="preserve">1.2.1.1.4.03.04.00.00.00</t>
  </si>
  <si>
    <t xml:space="preserve">1.2.1.1.5.03.04.00.00.00</t>
  </si>
  <si>
    <t xml:space="preserve">Investimentos e Aplicações Temporárias a Longo Prazo – Consolidação</t>
  </si>
  <si>
    <t xml:space="preserve">1.2.1.3.1.00.00.00.00.00</t>
  </si>
  <si>
    <t xml:space="preserve">(6) DÍVIDA CONSOLIDADA LÍQUIDA</t>
  </si>
  <si>
    <t xml:space="preserve">(7) OUTRAS OBRIGAÇÕES NÃO INTEGRANTES DA DÍVIDA CONSOLIDADA LÍQUIDA</t>
  </si>
  <si>
    <t xml:space="preserve">Precatórios de Pessoal – Regime Especial – antes de 05/05/2000</t>
  </si>
  <si>
    <t xml:space="preserve">2.1.1.1.1.04.01.00.00.00</t>
  </si>
  <si>
    <t xml:space="preserve">Precatórios de Pessoal – Regime Especial – a partir de 05/05/2000 – Não Vencidos</t>
  </si>
  <si>
    <t xml:space="preserve">2.1.1.1.1.04.03.00.00.00</t>
  </si>
  <si>
    <t xml:space="preserve">Precatórios de Pessoal – Regime Ordinário – antes de 05/05/2000</t>
  </si>
  <si>
    <t xml:space="preserve">2.1.1.1.1.05.01.00.00.00</t>
  </si>
  <si>
    <t xml:space="preserve">Precatórios de Pessoal – Regime Ordinário – a partir de 05/05/2000 – Não Vencidos</t>
  </si>
  <si>
    <t xml:space="preserve">2.1.1.1.1.05.03.00.00.00</t>
  </si>
  <si>
    <t xml:space="preserve">Precatórios de Benefícios Previdenciários – Regime Especial – antes de 05/05/2000</t>
  </si>
  <si>
    <t xml:space="preserve">2.1.1.2.1.04.01.00.00.00</t>
  </si>
  <si>
    <t xml:space="preserve">Precatórios de Benefícios Previdenciários – Regime Especial – a partir de 05/05/2000 – Não Vencidos</t>
  </si>
  <si>
    <t xml:space="preserve">2.1.1.2.1.04.03.00.00.00</t>
  </si>
  <si>
    <t xml:space="preserve">Precatórios de Benefícios Previdenciários – Regime Ordinário – antes de 05/05/2000</t>
  </si>
  <si>
    <t xml:space="preserve">2.1.1.2.1.05.01.00.00.00</t>
  </si>
  <si>
    <t xml:space="preserve">Precatórios de Benefícios Previdenciários – Regime Ordinário – a partir de 05/05/2000 – Não Vencidos</t>
  </si>
  <si>
    <t xml:space="preserve">2.1.1.2.1.05.03.00.00.00</t>
  </si>
  <si>
    <t xml:space="preserve">Precatórios de Benefícios Assistenciais – Regime Especial – antes de 05/05/2000</t>
  </si>
  <si>
    <t xml:space="preserve">2.1.1.3.1.03.01.00.00.00</t>
  </si>
  <si>
    <t xml:space="preserve">Precatórios de Benefícios Assistenciais – Regime Especial – a partir de 05/05/2000 – Não Vencidos</t>
  </si>
  <si>
    <t xml:space="preserve">2.1.1.3.1.03.03.00.00.00</t>
  </si>
  <si>
    <t xml:space="preserve">Precatórios de Benefícios Assistenciais – Regime Ordinário – antes de 05/05/2000</t>
  </si>
  <si>
    <t xml:space="preserve">2.1.1.3.1.04.01.00.00.00</t>
  </si>
  <si>
    <t xml:space="preserve">Precatórios de Benefícios Assistenciais – Regime Ordinário – a partir de 05/05/2000 – Não Vencidos</t>
  </si>
  <si>
    <t xml:space="preserve">2.1.1.3.1.04.03.00.00.00</t>
  </si>
  <si>
    <t xml:space="preserve">Antecipação da Receita Orçamentária</t>
  </si>
  <si>
    <t xml:space="preserve">2.1.2.1.1.02.05.00.00.00</t>
  </si>
  <si>
    <t xml:space="preserve">2.1.2.1.3.02.05.00.00.00</t>
  </si>
  <si>
    <t xml:space="preserve">2.1.2.1.4.02.05.00.00.00</t>
  </si>
  <si>
    <t xml:space="preserve">2.1.2.1.5.02.05.00.00.00</t>
  </si>
  <si>
    <t xml:space="preserve">Precatórios de Fornecedores Nacionais – Regime Especial – antes de 05/05/2000</t>
  </si>
  <si>
    <t xml:space="preserve">2.1.3.1.1.05.01.00.00.00</t>
  </si>
  <si>
    <t xml:space="preserve">Precatórios de Fornecedores Nacionais – Regime Especial – a partir de 05/05/2000 – Não Vencidos</t>
  </si>
  <si>
    <t xml:space="preserve">2.1.3.1.1.05.03.00.00.00</t>
  </si>
  <si>
    <t xml:space="preserve">Precatórios de Fornecedores Nacionais – Regime Ordinário – antes de 05/05/2000</t>
  </si>
  <si>
    <t xml:space="preserve">2.1.3.1.1.06.01.00.00.00</t>
  </si>
  <si>
    <t xml:space="preserve">Precatórios de Fornecedores Nacionais – Regime Ordinário – a partir de 05/05/2000 – Não Vencidos</t>
  </si>
  <si>
    <t xml:space="preserve">2.1.3.1.1.06.03.00.00.00</t>
  </si>
  <si>
    <t xml:space="preserve">Precatórios de Contas a Pagar – Regime Especial – antes de 05/05/2000</t>
  </si>
  <si>
    <t xml:space="preserve">2.1.3.1.1.07.01.00.00.00</t>
  </si>
  <si>
    <t xml:space="preserve">Precatórios de Contas a Pagar – Regime Especial – a partir de 05/05/2000 – Não Vencidos</t>
  </si>
  <si>
    <t xml:space="preserve">2.1.3.1.1.07.03.00.00.00</t>
  </si>
  <si>
    <t xml:space="preserve">Precatórios de Contas a Pagar – Regime Ordinário – antes de 05/05/2000</t>
  </si>
  <si>
    <t xml:space="preserve">2.1.3.1.1.08.01.00.00.00</t>
  </si>
  <si>
    <t xml:space="preserve">Precatórios de Contas a Pagar – Regime Ordinário – a partir de 05/05/2000 – Não Vencidos</t>
  </si>
  <si>
    <t xml:space="preserve">2.1.3.1.1.08.03.00.00.00</t>
  </si>
  <si>
    <t xml:space="preserve">2.2.1.1.1.03.01.00.00.00</t>
  </si>
  <si>
    <t xml:space="preserve">2.2.1.1.1.03.03.00.00.00</t>
  </si>
  <si>
    <t xml:space="preserve">2.2.1.1.1.04.01.00.00.00</t>
  </si>
  <si>
    <t xml:space="preserve">2.2.1.1.1.04.03.00.00.00</t>
  </si>
  <si>
    <t xml:space="preserve">2.2.1.2.1.02.01.00.00.00</t>
  </si>
  <si>
    <t xml:space="preserve">2.2.1.2.1.02.03.00.00.00</t>
  </si>
  <si>
    <t xml:space="preserve">2.2.1.2.1.03.01.00.00.00</t>
  </si>
  <si>
    <t xml:space="preserve">2.2.1.2.1.03.03.00.00.00</t>
  </si>
  <si>
    <t xml:space="preserve">2.2.1.3.1.02.01.00.00.00</t>
  </si>
  <si>
    <t xml:space="preserve">2.2.1.3.1.02.03.00.00.00</t>
  </si>
  <si>
    <t xml:space="preserve">2.2.1.3.1.03.01.00.00.00</t>
  </si>
  <si>
    <t xml:space="preserve">2.2.1.3.1.03.03.00.00.00</t>
  </si>
  <si>
    <t xml:space="preserve">2.2.3.1.1.04.01.00.00.00</t>
  </si>
  <si>
    <t xml:space="preserve">2.2.3.1.1.04.03.00.00.00</t>
  </si>
  <si>
    <t xml:space="preserve">2.2.3.1.1.05.01.00.00.00</t>
  </si>
  <si>
    <t xml:space="preserve">2.2.3.1.1.05.03.00.00.00</t>
  </si>
  <si>
    <t xml:space="preserve">2.2.3.1.1.06.01.00.00.00</t>
  </si>
  <si>
    <t xml:space="preserve">2.2.3.1.1.06.03.00.00.00</t>
  </si>
  <si>
    <t xml:space="preserve">2.2.3.1.1.07.01.00.00.00</t>
  </si>
  <si>
    <t xml:space="preserve">2.2.3.1.1.07.03.00.00.00</t>
  </si>
  <si>
    <t xml:space="preserve">Provisões Matemáticas Previdenciárias a Longo Prazo – Consolidação</t>
  </si>
  <si>
    <t xml:space="preserve">2.2.7.2.1.00.00.00.00.00</t>
  </si>
  <si>
    <t xml:space="preserve">RP Não Processados a Liquidar</t>
  </si>
  <si>
    <t xml:space="preserve">6.3.1.1.0.00.00.00.00.00</t>
  </si>
  <si>
    <t xml:space="preserve">RP Não Processados em Liquidação</t>
  </si>
  <si>
    <t xml:space="preserve">6.3.1.2.0.00.00.00.00.00</t>
  </si>
  <si>
    <t xml:space="preserve">RP Não Processados Liquidados a Pagar</t>
  </si>
  <si>
    <t xml:space="preserve">6.3.1.3.0.00.00.00.00.00</t>
  </si>
  <si>
    <t xml:space="preserve">RP Não Processados a Liquidar Bloqueados</t>
  </si>
  <si>
    <t xml:space="preserve">6.3.1.5.0.00.00.00.00.00</t>
  </si>
  <si>
    <t xml:space="preserve">Insuficiência Financeira</t>
  </si>
  <si>
    <t xml:space="preserve">NOME DO MUNICÍPIO</t>
  </si>
  <si>
    <t xml:space="preserve">RELATÓRIO RESUMIDO DA EXECUÇÃO ORÇAMENTÁRIA</t>
  </si>
  <si>
    <t xml:space="preserve">DEMONSTRATIVO DO RESULTADO NOMINAL</t>
  </si>
  <si>
    <t xml:space="preserve">ORÇAMENTOS FISCAL E DA SEGURIDADE SOCIAL</t>
  </si>
  <si>
    <t xml:space="preserve">RREO - ANEXO 5 (LRF, art 53, inciso III)</t>
  </si>
  <si>
    <t xml:space="preserve">Em Reais</t>
  </si>
  <si>
    <t xml:space="preserve">SALDO</t>
  </si>
  <si>
    <t xml:space="preserve">DÍVIDA FISCAL LÍQUIDA</t>
  </si>
  <si>
    <t xml:space="preserve">(a)</t>
  </si>
  <si>
    <t xml:space="preserve">(b)</t>
  </si>
  <si>
    <t xml:space="preserve">(c)</t>
  </si>
  <si>
    <t xml:space="preserve">DÍVIDA CONSOLIDADA (I)</t>
  </si>
  <si>
    <t xml:space="preserve">DEDUÇÕES (II)</t>
  </si>
  <si>
    <t xml:space="preserve">    Disponibilidade de Caixa</t>
  </si>
  <si>
    <t xml:space="preserve">           Disponibilidade de Caixa Bruta</t>
  </si>
  <si>
    <t xml:space="preserve">           (-) Restos a Pagar Processados (Exceto precatórios)</t>
  </si>
  <si>
    <t xml:space="preserve">    Demais Haveres Financeiros</t>
  </si>
  <si>
    <t xml:space="preserve">DÍVIDA CONSOLIDADA LÍQUIDA (III) = (I - II)</t>
  </si>
  <si>
    <t xml:space="preserve">RECEITA DE PRIVATIZAÇÕES (IV)</t>
  </si>
  <si>
    <t xml:space="preserve">PASSIVOS RECONHECIDOS (V)</t>
  </si>
  <si>
    <t xml:space="preserve">DÍVIDA FISCAL LÍQUIDA (VI) = (III + IV - V)</t>
  </si>
  <si>
    <t xml:space="preserve">PERÍODO DE REFERÊNCIA</t>
  </si>
  <si>
    <t xml:space="preserve">RESULTADO NOMINAL </t>
  </si>
  <si>
    <t xml:space="preserve">No Bimestre</t>
  </si>
  <si>
    <t xml:space="preserve">Até o Bimestre</t>
  </si>
  <si>
    <t xml:space="preserve">(VIc -VIb)</t>
  </si>
  <si>
    <t xml:space="preserve">(VIc - VIa)</t>
  </si>
  <si>
    <t xml:space="preserve">VALOR</t>
  </si>
  <si>
    <t xml:space="preserve">DISCRIMINAÇÃO DA META FISCAL</t>
  </si>
  <si>
    <t xml:space="preserve">VALOR CORRENTE</t>
  </si>
  <si>
    <t xml:space="preserve">META DE RESULTADO NOMINAL FIXADA NO ANEXO DE METAS FISCAIS DA LDO P/ O EXERCÍCIO DE REFERÊNCIA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</si>
</sst>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"/>
    <numFmt numFmtId="166" formatCode="#,##0.00"/>
    <numFmt numFmtId="167" formatCode="@"/>
    <numFmt numFmtId="168" formatCode="&quot;R$ &quot;#,##0.00\ ;[RED]&quot;(R$ &quot;#,##0.00\)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u val="single"/>
      <sz val="10"/>
      <name val="Times New Roman"/>
      <family val="1"/>
      <charset val="1"/>
    </font>
    <font>
      <sz val="8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 style="thin">
        <color rgb="FFEFF0F1"/>
      </right>
      <top style="thin">
        <color rgb="FFEFF0F1"/>
      </top>
      <bottom/>
      <diagonal/>
    </border>
    <border diagonalUp="false" diagonalDown="false">
      <left style="thin">
        <color rgb="FFEFF0F1"/>
      </left>
      <right/>
      <top style="thin">
        <color rgb="FFEFF0F1"/>
      </top>
      <bottom style="thin">
        <color rgb="FFEFF0F1"/>
      </bottom>
      <diagonal/>
    </border>
    <border diagonalUp="false" diagonalDown="false">
      <left/>
      <right/>
      <top style="thin">
        <color rgb="FFEFF0F1"/>
      </top>
      <bottom style="thin">
        <color rgb="FFEFF0F1"/>
      </bottom>
      <diagonal/>
    </border>
    <border diagonalUp="false" diagonalDown="false">
      <left/>
      <right style="thin">
        <color rgb="FFEFF0F1"/>
      </right>
      <top/>
      <bottom/>
      <diagonal/>
    </border>
    <border diagonalUp="false" diagonalDown="false">
      <left style="thin">
        <color rgb="FFEFF0F1"/>
      </left>
      <right style="thin">
        <color rgb="FFEFF0F1"/>
      </right>
      <top style="thin">
        <color rgb="FFEFF0F1"/>
      </top>
      <bottom/>
      <diagonal/>
    </border>
    <border diagonalUp="false" diagonalDown="false">
      <left/>
      <right style="thin">
        <color rgb="FFEFF0F1"/>
      </right>
      <top/>
      <bottom style="thin">
        <color rgb="FFEFF0F1"/>
      </bottom>
      <diagonal/>
    </border>
    <border diagonalUp="false" diagonalDown="false">
      <left style="thin">
        <color rgb="FFEFF0F1"/>
      </left>
      <right style="thin">
        <color rgb="FFEFF0F1"/>
      </right>
      <top/>
      <bottom style="thin">
        <color rgb="FFEFF0F1"/>
      </bottom>
      <diagonal/>
    </border>
    <border diagonalUp="false" diagonalDown="false">
      <left style="thin">
        <color rgb="FFEFF0F1"/>
      </left>
      <right/>
      <top/>
      <bottom style="thin">
        <color rgb="FFEFF0F1"/>
      </bottom>
      <diagonal/>
    </border>
    <border diagonalUp="false" diagonalDown="false">
      <left style="thin">
        <color rgb="FFEFF0F1"/>
      </left>
      <right/>
      <top/>
      <bottom/>
      <diagonal/>
    </border>
    <border diagonalUp="false" diagonalDown="false">
      <left style="thin">
        <color rgb="FFEFF0F1"/>
      </left>
      <right/>
      <top style="thin">
        <color rgb="FFEFF0F1"/>
      </top>
      <bottom/>
      <diagonal/>
    </border>
    <border diagonalUp="false" diagonalDown="false">
      <left/>
      <right/>
      <top style="thin">
        <color rgb="FFEFF0F1"/>
      </top>
      <bottom/>
      <diagonal/>
    </border>
    <border diagonalUp="false" diagonalDown="false">
      <left/>
      <right/>
      <top/>
      <bottom style="thin">
        <color rgb="FFEFF0F1"/>
      </bottom>
      <diagonal/>
    </border>
    <border diagonalUp="false" diagonalDown="false">
      <left/>
      <right style="thin">
        <color rgb="FFEFF0F1"/>
      </right>
      <top style="thin">
        <color rgb="FFEFF0F1"/>
      </top>
      <bottom style="thin">
        <color rgb="FFEFF0F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9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8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EFF0F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36"/>
  <sheetViews>
    <sheetView showFormulas="false" showGridLines="true" showRowColHeaders="true" showZeros="true" rightToLeft="false" tabSelected="true" showOutlineSymbols="true" defaultGridColor="true" view="normal" topLeftCell="A220" colorId="64" zoomScale="100" zoomScaleNormal="100" zoomScalePageLayoutView="100" workbookViewId="0">
      <selection pane="topLeft" activeCell="C187" activeCellId="0" sqref="C187"/>
    </sheetView>
  </sheetViews>
  <sheetFormatPr defaultRowHeight="12.8" zeroHeight="false" outlineLevelRow="0" outlineLevelCol="0"/>
  <cols>
    <col collapsed="false" customWidth="true" hidden="false" outlineLevel="0" max="1" min="1" style="0" width="90.77"/>
    <col collapsed="false" customWidth="true" hidden="false" outlineLevel="0" max="2" min="2" style="0" width="21.16"/>
    <col collapsed="false" customWidth="true" hidden="false" outlineLevel="0" max="5" min="3" style="0" width="12.56"/>
    <col collapsed="false" customWidth="true" hidden="false" outlineLevel="0" max="6" min="6" style="0" width="29.71"/>
    <col collapsed="false" customWidth="false" hidden="false" outlineLevel="0" max="1025" min="7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n">
        <v>42735</v>
      </c>
      <c r="D1" s="2" t="n">
        <v>42855</v>
      </c>
      <c r="E1" s="2" t="n">
        <v>42916</v>
      </c>
    </row>
    <row r="2" customFormat="false" ht="12.8" hidden="false" customHeight="false" outlineLevel="0" collapsed="false">
      <c r="A2" s="3" t="s">
        <v>2</v>
      </c>
      <c r="B2" s="3"/>
      <c r="C2" s="4" t="n">
        <f aca="false">SUM(C3:C46,C51:C103,C109:C127)-SUM(C47:C50,C104:C108)</f>
        <v>0</v>
      </c>
      <c r="D2" s="4" t="n">
        <f aca="false">SUM(D3:D46,D51:D103,D109:D127)-SUM(D47:D50,D104:D108)</f>
        <v>0</v>
      </c>
      <c r="E2" s="4" t="n">
        <f aca="false">SUM(E3:E46,E51:E103,E109:E127)-SUM(E47:E50,E104:E108)</f>
        <v>0</v>
      </c>
    </row>
    <row r="3" customFormat="false" ht="12.8" hidden="false" customHeight="false" outlineLevel="0" collapsed="false">
      <c r="A3" s="0" t="s">
        <v>3</v>
      </c>
      <c r="B3" s="0" t="s">
        <v>4</v>
      </c>
      <c r="C3" s="5"/>
      <c r="D3" s="5"/>
      <c r="E3" s="5"/>
    </row>
    <row r="4" customFormat="false" ht="12.8" hidden="false" customHeight="false" outlineLevel="0" collapsed="false">
      <c r="A4" s="0" t="s">
        <v>5</v>
      </c>
      <c r="B4" s="0" t="s">
        <v>6</v>
      </c>
      <c r="C4" s="5"/>
      <c r="D4" s="5"/>
      <c r="E4" s="5"/>
    </row>
    <row r="5" customFormat="false" ht="12.8" hidden="false" customHeight="false" outlineLevel="0" collapsed="false">
      <c r="A5" s="0" t="s">
        <v>7</v>
      </c>
      <c r="B5" s="0" t="s">
        <v>8</v>
      </c>
      <c r="C5" s="5"/>
      <c r="D5" s="5"/>
      <c r="E5" s="5"/>
    </row>
    <row r="6" customFormat="false" ht="12.8" hidden="false" customHeight="false" outlineLevel="0" collapsed="false">
      <c r="A6" s="0" t="s">
        <v>9</v>
      </c>
      <c r="B6" s="0" t="s">
        <v>10</v>
      </c>
      <c r="C6" s="5"/>
      <c r="D6" s="5"/>
      <c r="E6" s="5"/>
    </row>
    <row r="7" customFormat="false" ht="12.8" hidden="false" customHeight="false" outlineLevel="0" collapsed="false">
      <c r="A7" s="0" t="s">
        <v>11</v>
      </c>
      <c r="B7" s="0" t="s">
        <v>12</v>
      </c>
      <c r="C7" s="5"/>
      <c r="D7" s="5"/>
      <c r="E7" s="5"/>
    </row>
    <row r="8" customFormat="false" ht="12.8" hidden="false" customHeight="false" outlineLevel="0" collapsed="false">
      <c r="A8" s="0" t="s">
        <v>13</v>
      </c>
      <c r="B8" s="0" t="s">
        <v>14</v>
      </c>
      <c r="C8" s="5"/>
      <c r="D8" s="5"/>
      <c r="E8" s="5"/>
    </row>
    <row r="9" customFormat="false" ht="12.8" hidden="false" customHeight="false" outlineLevel="0" collapsed="false">
      <c r="A9" s="0" t="s">
        <v>15</v>
      </c>
      <c r="B9" s="0" t="s">
        <v>16</v>
      </c>
      <c r="C9" s="5"/>
      <c r="D9" s="5"/>
      <c r="E9" s="5"/>
    </row>
    <row r="10" customFormat="false" ht="12.8" hidden="false" customHeight="false" outlineLevel="0" collapsed="false">
      <c r="A10" s="0" t="s">
        <v>15</v>
      </c>
      <c r="B10" s="0" t="s">
        <v>17</v>
      </c>
      <c r="C10" s="5"/>
      <c r="D10" s="5"/>
      <c r="E10" s="5"/>
    </row>
    <row r="11" customFormat="false" ht="12.8" hidden="false" customHeight="false" outlineLevel="0" collapsed="false">
      <c r="A11" s="0" t="s">
        <v>18</v>
      </c>
      <c r="B11" s="0" t="s">
        <v>19</v>
      </c>
      <c r="C11" s="5"/>
      <c r="D11" s="5"/>
      <c r="E11" s="5"/>
    </row>
    <row r="12" customFormat="false" ht="12.8" hidden="false" customHeight="false" outlineLevel="0" collapsed="false">
      <c r="A12" s="0" t="s">
        <v>18</v>
      </c>
      <c r="B12" s="0" t="s">
        <v>20</v>
      </c>
      <c r="C12" s="5"/>
      <c r="D12" s="5"/>
      <c r="E12" s="5"/>
    </row>
    <row r="13" customFormat="false" ht="12.8" hidden="false" customHeight="false" outlineLevel="0" collapsed="false">
      <c r="A13" s="0" t="s">
        <v>18</v>
      </c>
      <c r="B13" s="0" t="s">
        <v>21</v>
      </c>
      <c r="C13" s="5"/>
      <c r="D13" s="5"/>
      <c r="E13" s="5"/>
    </row>
    <row r="14" customFormat="false" ht="12.8" hidden="false" customHeight="false" outlineLevel="0" collapsed="false">
      <c r="A14" s="0" t="s">
        <v>18</v>
      </c>
      <c r="B14" s="0" t="s">
        <v>22</v>
      </c>
      <c r="C14" s="5"/>
      <c r="D14" s="5"/>
      <c r="E14" s="5"/>
    </row>
    <row r="15" customFormat="false" ht="12.8" hidden="false" customHeight="false" outlineLevel="0" collapsed="false">
      <c r="A15" s="0" t="s">
        <v>23</v>
      </c>
      <c r="B15" s="0" t="s">
        <v>24</v>
      </c>
      <c r="C15" s="5"/>
      <c r="D15" s="5"/>
      <c r="E15" s="5"/>
    </row>
    <row r="16" customFormat="false" ht="12.8" hidden="false" customHeight="false" outlineLevel="0" collapsed="false">
      <c r="A16" s="0" t="s">
        <v>23</v>
      </c>
      <c r="B16" s="0" t="s">
        <v>25</v>
      </c>
      <c r="C16" s="5"/>
      <c r="D16" s="5"/>
      <c r="E16" s="5"/>
    </row>
    <row r="17" customFormat="false" ht="12.8" hidden="false" customHeight="false" outlineLevel="0" collapsed="false">
      <c r="A17" s="0" t="s">
        <v>26</v>
      </c>
      <c r="B17" s="0" t="s">
        <v>27</v>
      </c>
      <c r="C17" s="5"/>
      <c r="D17" s="5"/>
      <c r="E17" s="5"/>
    </row>
    <row r="18" customFormat="false" ht="12.8" hidden="false" customHeight="false" outlineLevel="0" collapsed="false">
      <c r="A18" s="0" t="s">
        <v>26</v>
      </c>
      <c r="B18" s="0" t="s">
        <v>28</v>
      </c>
      <c r="C18" s="5"/>
      <c r="D18" s="5"/>
      <c r="E18" s="5"/>
    </row>
    <row r="19" customFormat="false" ht="12.8" hidden="false" customHeight="false" outlineLevel="0" collapsed="false">
      <c r="A19" s="0" t="s">
        <v>26</v>
      </c>
      <c r="B19" s="0" t="s">
        <v>29</v>
      </c>
      <c r="C19" s="5"/>
      <c r="D19" s="5"/>
      <c r="E19" s="5"/>
    </row>
    <row r="20" customFormat="false" ht="12.8" hidden="false" customHeight="false" outlineLevel="0" collapsed="false">
      <c r="A20" s="0" t="s">
        <v>26</v>
      </c>
      <c r="B20" s="0" t="s">
        <v>30</v>
      </c>
      <c r="C20" s="5"/>
      <c r="D20" s="5"/>
      <c r="E20" s="5"/>
    </row>
    <row r="21" customFormat="false" ht="12.8" hidden="false" customHeight="false" outlineLevel="0" collapsed="false">
      <c r="A21" s="0" t="s">
        <v>31</v>
      </c>
      <c r="B21" s="0" t="s">
        <v>32</v>
      </c>
      <c r="C21" s="5"/>
      <c r="D21" s="5"/>
      <c r="E21" s="5"/>
    </row>
    <row r="22" customFormat="false" ht="12.8" hidden="false" customHeight="false" outlineLevel="0" collapsed="false">
      <c r="A22" s="0" t="s">
        <v>31</v>
      </c>
      <c r="B22" s="0" t="s">
        <v>33</v>
      </c>
      <c r="C22" s="5"/>
      <c r="D22" s="5"/>
      <c r="E22" s="5"/>
    </row>
    <row r="23" customFormat="false" ht="12.8" hidden="false" customHeight="false" outlineLevel="0" collapsed="false">
      <c r="A23" s="0" t="s">
        <v>31</v>
      </c>
      <c r="B23" s="0" t="s">
        <v>34</v>
      </c>
      <c r="C23" s="5"/>
      <c r="D23" s="5"/>
      <c r="E23" s="5"/>
    </row>
    <row r="24" customFormat="false" ht="12.8" hidden="false" customHeight="false" outlineLevel="0" collapsed="false">
      <c r="A24" s="0" t="s">
        <v>31</v>
      </c>
      <c r="B24" s="0" t="s">
        <v>35</v>
      </c>
      <c r="C24" s="5"/>
      <c r="D24" s="5"/>
      <c r="E24" s="5"/>
    </row>
    <row r="25" customFormat="false" ht="12.8" hidden="false" customHeight="false" outlineLevel="0" collapsed="false">
      <c r="A25" s="0" t="s">
        <v>36</v>
      </c>
      <c r="B25" s="0" t="s">
        <v>37</v>
      </c>
      <c r="C25" s="5"/>
      <c r="D25" s="5"/>
      <c r="E25" s="5"/>
    </row>
    <row r="26" customFormat="false" ht="12.8" hidden="false" customHeight="false" outlineLevel="0" collapsed="false">
      <c r="A26" s="0" t="s">
        <v>36</v>
      </c>
      <c r="B26" s="0" t="s">
        <v>38</v>
      </c>
      <c r="C26" s="5"/>
      <c r="D26" s="5"/>
      <c r="E26" s="5"/>
    </row>
    <row r="27" customFormat="false" ht="12.8" hidden="false" customHeight="false" outlineLevel="0" collapsed="false">
      <c r="A27" s="0" t="s">
        <v>36</v>
      </c>
      <c r="B27" s="0" t="s">
        <v>39</v>
      </c>
      <c r="C27" s="5"/>
      <c r="D27" s="5"/>
      <c r="E27" s="5"/>
    </row>
    <row r="28" customFormat="false" ht="12.8" hidden="false" customHeight="false" outlineLevel="0" collapsed="false">
      <c r="A28" s="0" t="s">
        <v>36</v>
      </c>
      <c r="B28" s="0" t="s">
        <v>40</v>
      </c>
      <c r="C28" s="5"/>
      <c r="D28" s="5"/>
      <c r="E28" s="5"/>
    </row>
    <row r="29" customFormat="false" ht="12.8" hidden="false" customHeight="false" outlineLevel="0" collapsed="false">
      <c r="A29" s="0" t="s">
        <v>41</v>
      </c>
      <c r="B29" s="0" t="s">
        <v>42</v>
      </c>
      <c r="C29" s="5"/>
      <c r="D29" s="5"/>
      <c r="E29" s="5"/>
    </row>
    <row r="30" customFormat="false" ht="12.8" hidden="false" customHeight="false" outlineLevel="0" collapsed="false">
      <c r="A30" s="0" t="s">
        <v>41</v>
      </c>
      <c r="B30" s="0" t="s">
        <v>43</v>
      </c>
      <c r="C30" s="5"/>
      <c r="D30" s="5"/>
      <c r="E30" s="5"/>
    </row>
    <row r="31" customFormat="false" ht="12.8" hidden="false" customHeight="false" outlineLevel="0" collapsed="false">
      <c r="A31" s="0" t="s">
        <v>41</v>
      </c>
      <c r="B31" s="0" t="s">
        <v>44</v>
      </c>
      <c r="C31" s="5"/>
      <c r="D31" s="5"/>
      <c r="E31" s="5"/>
    </row>
    <row r="32" customFormat="false" ht="12.8" hidden="false" customHeight="false" outlineLevel="0" collapsed="false">
      <c r="A32" s="0" t="s">
        <v>45</v>
      </c>
      <c r="B32" s="0" t="s">
        <v>46</v>
      </c>
      <c r="C32" s="5"/>
      <c r="D32" s="5"/>
      <c r="E32" s="5"/>
    </row>
    <row r="33" customFormat="false" ht="12.8" hidden="false" customHeight="false" outlineLevel="0" collapsed="false">
      <c r="A33" s="0" t="s">
        <v>47</v>
      </c>
      <c r="B33" s="0" t="s">
        <v>48</v>
      </c>
      <c r="C33" s="5"/>
      <c r="D33" s="5"/>
      <c r="E33" s="5"/>
    </row>
    <row r="34" customFormat="false" ht="12.8" hidden="false" customHeight="false" outlineLevel="0" collapsed="false">
      <c r="A34" s="0" t="s">
        <v>49</v>
      </c>
      <c r="B34" s="0" t="s">
        <v>50</v>
      </c>
      <c r="C34" s="5"/>
      <c r="D34" s="5"/>
      <c r="E34" s="5"/>
    </row>
    <row r="35" customFormat="false" ht="12.8" hidden="false" customHeight="false" outlineLevel="0" collapsed="false">
      <c r="A35" s="0" t="s">
        <v>41</v>
      </c>
      <c r="B35" s="0" t="s">
        <v>51</v>
      </c>
      <c r="C35" s="5"/>
      <c r="D35" s="5"/>
      <c r="E35" s="5"/>
    </row>
    <row r="36" customFormat="false" ht="12.8" hidden="false" customHeight="false" outlineLevel="0" collapsed="false">
      <c r="A36" s="0" t="s">
        <v>52</v>
      </c>
      <c r="B36" s="0" t="s">
        <v>53</v>
      </c>
      <c r="C36" s="5"/>
      <c r="D36" s="5"/>
      <c r="E36" s="5"/>
    </row>
    <row r="37" customFormat="false" ht="12.8" hidden="false" customHeight="false" outlineLevel="0" collapsed="false">
      <c r="A37" s="0" t="s">
        <v>54</v>
      </c>
      <c r="B37" s="0" t="s">
        <v>55</v>
      </c>
      <c r="C37" s="5"/>
      <c r="D37" s="5"/>
      <c r="E37" s="5"/>
    </row>
    <row r="38" customFormat="false" ht="12.8" hidden="false" customHeight="false" outlineLevel="0" collapsed="false">
      <c r="A38" s="0" t="s">
        <v>54</v>
      </c>
      <c r="B38" s="0" t="s">
        <v>56</v>
      </c>
      <c r="C38" s="5"/>
      <c r="D38" s="5"/>
      <c r="E38" s="5"/>
    </row>
    <row r="39" customFormat="false" ht="12.8" hidden="false" customHeight="false" outlineLevel="0" collapsed="false">
      <c r="A39" s="0" t="s">
        <v>54</v>
      </c>
      <c r="B39" s="0" t="s">
        <v>57</v>
      </c>
      <c r="C39" s="5"/>
      <c r="D39" s="5"/>
      <c r="E39" s="5"/>
    </row>
    <row r="40" customFormat="false" ht="12.8" hidden="false" customHeight="false" outlineLevel="0" collapsed="false">
      <c r="A40" s="0" t="s">
        <v>54</v>
      </c>
      <c r="B40" s="0" t="s">
        <v>58</v>
      </c>
      <c r="C40" s="5"/>
      <c r="D40" s="5"/>
      <c r="E40" s="5"/>
    </row>
    <row r="41" customFormat="false" ht="12.8" hidden="false" customHeight="false" outlineLevel="0" collapsed="false">
      <c r="A41" s="0" t="s">
        <v>59</v>
      </c>
      <c r="B41" s="0" t="s">
        <v>60</v>
      </c>
      <c r="C41" s="5"/>
      <c r="D41" s="5"/>
      <c r="E41" s="5"/>
    </row>
    <row r="42" customFormat="false" ht="12.8" hidden="false" customHeight="false" outlineLevel="0" collapsed="false">
      <c r="A42" s="0" t="s">
        <v>61</v>
      </c>
      <c r="B42" s="0" t="s">
        <v>62</v>
      </c>
      <c r="C42" s="5"/>
      <c r="D42" s="5"/>
      <c r="E42" s="5"/>
    </row>
    <row r="43" customFormat="false" ht="12.8" hidden="false" customHeight="false" outlineLevel="0" collapsed="false">
      <c r="A43" s="0" t="s">
        <v>61</v>
      </c>
      <c r="B43" s="0" t="s">
        <v>63</v>
      </c>
      <c r="C43" s="5"/>
      <c r="D43" s="5"/>
      <c r="E43" s="5"/>
    </row>
    <row r="44" customFormat="false" ht="12.8" hidden="false" customHeight="false" outlineLevel="0" collapsed="false">
      <c r="A44" s="0" t="s">
        <v>61</v>
      </c>
      <c r="B44" s="0" t="s">
        <v>64</v>
      </c>
      <c r="C44" s="5"/>
      <c r="D44" s="5"/>
      <c r="E44" s="5"/>
    </row>
    <row r="45" customFormat="false" ht="12.8" hidden="false" customHeight="false" outlineLevel="0" collapsed="false">
      <c r="A45" s="0" t="s">
        <v>61</v>
      </c>
      <c r="B45" s="0" t="s">
        <v>65</v>
      </c>
      <c r="C45" s="5"/>
      <c r="D45" s="5"/>
      <c r="E45" s="5"/>
    </row>
    <row r="46" customFormat="false" ht="12.8" hidden="false" customHeight="false" outlineLevel="0" collapsed="false">
      <c r="A46" s="0" t="s">
        <v>66</v>
      </c>
      <c r="B46" s="0" t="s">
        <v>67</v>
      </c>
      <c r="C46" s="5"/>
      <c r="D46" s="5"/>
      <c r="E46" s="5"/>
    </row>
    <row r="47" customFormat="false" ht="12.8" hidden="false" customHeight="false" outlineLevel="0" collapsed="false">
      <c r="A47" s="0" t="s">
        <v>68</v>
      </c>
      <c r="B47" s="0" t="s">
        <v>69</v>
      </c>
      <c r="C47" s="5"/>
      <c r="D47" s="5"/>
      <c r="E47" s="5"/>
    </row>
    <row r="48" customFormat="false" ht="12.8" hidden="false" customHeight="false" outlineLevel="0" collapsed="false">
      <c r="A48" s="0" t="s">
        <v>68</v>
      </c>
      <c r="B48" s="0" t="s">
        <v>70</v>
      </c>
      <c r="C48" s="5"/>
      <c r="D48" s="5"/>
      <c r="E48" s="5"/>
    </row>
    <row r="49" customFormat="false" ht="12.8" hidden="false" customHeight="false" outlineLevel="0" collapsed="false">
      <c r="A49" s="0" t="s">
        <v>68</v>
      </c>
      <c r="B49" s="0" t="s">
        <v>71</v>
      </c>
      <c r="C49" s="5"/>
      <c r="D49" s="5"/>
      <c r="E49" s="5"/>
    </row>
    <row r="50" customFormat="false" ht="12.8" hidden="false" customHeight="false" outlineLevel="0" collapsed="false">
      <c r="A50" s="0" t="s">
        <v>72</v>
      </c>
      <c r="B50" s="0" t="s">
        <v>73</v>
      </c>
      <c r="C50" s="5"/>
      <c r="D50" s="5"/>
      <c r="E50" s="5"/>
    </row>
    <row r="51" customFormat="false" ht="12.8" hidden="false" customHeight="false" outlineLevel="0" collapsed="false">
      <c r="A51" s="0" t="s">
        <v>74</v>
      </c>
      <c r="B51" s="0" t="s">
        <v>75</v>
      </c>
      <c r="C51" s="5"/>
      <c r="D51" s="5"/>
      <c r="E51" s="5"/>
    </row>
    <row r="52" customFormat="false" ht="12.8" hidden="false" customHeight="false" outlineLevel="0" collapsed="false">
      <c r="A52" s="0" t="s">
        <v>76</v>
      </c>
      <c r="B52" s="0" t="s">
        <v>77</v>
      </c>
      <c r="C52" s="5"/>
      <c r="D52" s="5"/>
      <c r="E52" s="5"/>
    </row>
    <row r="53" customFormat="false" ht="12.8" hidden="false" customHeight="false" outlineLevel="0" collapsed="false">
      <c r="A53" s="0" t="s">
        <v>78</v>
      </c>
      <c r="B53" s="0" t="s">
        <v>79</v>
      </c>
      <c r="C53" s="5"/>
      <c r="D53" s="5"/>
      <c r="E53" s="5"/>
    </row>
    <row r="54" customFormat="false" ht="12.8" hidden="false" customHeight="false" outlineLevel="0" collapsed="false">
      <c r="A54" s="0" t="s">
        <v>80</v>
      </c>
      <c r="B54" s="0" t="s">
        <v>81</v>
      </c>
      <c r="C54" s="5"/>
      <c r="D54" s="5"/>
      <c r="E54" s="5"/>
    </row>
    <row r="55" customFormat="false" ht="12.8" hidden="false" customHeight="false" outlineLevel="0" collapsed="false">
      <c r="A55" s="0" t="s">
        <v>82</v>
      </c>
      <c r="B55" s="0" t="s">
        <v>83</v>
      </c>
      <c r="C55" s="5"/>
      <c r="D55" s="5"/>
      <c r="E55" s="5"/>
    </row>
    <row r="56" customFormat="false" ht="12.8" hidden="false" customHeight="false" outlineLevel="0" collapsed="false">
      <c r="A56" s="0" t="s">
        <v>84</v>
      </c>
      <c r="B56" s="0" t="s">
        <v>85</v>
      </c>
      <c r="C56" s="5"/>
      <c r="D56" s="5"/>
      <c r="E56" s="5"/>
    </row>
    <row r="57" customFormat="false" ht="12.8" hidden="false" customHeight="false" outlineLevel="0" collapsed="false">
      <c r="A57" s="0" t="s">
        <v>86</v>
      </c>
      <c r="B57" s="0" t="s">
        <v>87</v>
      </c>
      <c r="C57" s="5"/>
      <c r="D57" s="5"/>
      <c r="E57" s="5"/>
    </row>
    <row r="58" customFormat="false" ht="12.8" hidden="false" customHeight="false" outlineLevel="0" collapsed="false">
      <c r="A58" s="0" t="s">
        <v>88</v>
      </c>
      <c r="B58" s="0" t="s">
        <v>89</v>
      </c>
      <c r="C58" s="5"/>
      <c r="D58" s="5"/>
      <c r="E58" s="5"/>
    </row>
    <row r="59" customFormat="false" ht="12.8" hidden="false" customHeight="false" outlineLevel="0" collapsed="false">
      <c r="A59" s="0" t="s">
        <v>74</v>
      </c>
      <c r="B59" s="0" t="s">
        <v>90</v>
      </c>
      <c r="C59" s="5"/>
      <c r="D59" s="5"/>
      <c r="E59" s="5"/>
    </row>
    <row r="60" customFormat="false" ht="12.8" hidden="false" customHeight="false" outlineLevel="0" collapsed="false">
      <c r="A60" s="0" t="s">
        <v>76</v>
      </c>
      <c r="B60" s="0" t="s">
        <v>91</v>
      </c>
      <c r="C60" s="5"/>
      <c r="D60" s="5"/>
      <c r="E60" s="5"/>
    </row>
    <row r="61" customFormat="false" ht="12.8" hidden="false" customHeight="false" outlineLevel="0" collapsed="false">
      <c r="A61" s="0" t="s">
        <v>78</v>
      </c>
      <c r="B61" s="0" t="s">
        <v>92</v>
      </c>
      <c r="C61" s="5"/>
      <c r="D61" s="5"/>
      <c r="E61" s="5"/>
    </row>
    <row r="62" customFormat="false" ht="12.8" hidden="false" customHeight="false" outlineLevel="0" collapsed="false">
      <c r="A62" s="0" t="s">
        <v>80</v>
      </c>
      <c r="B62" s="0" t="s">
        <v>93</v>
      </c>
      <c r="C62" s="5"/>
      <c r="D62" s="5"/>
      <c r="E62" s="5"/>
    </row>
    <row r="63" customFormat="false" ht="12.8" hidden="false" customHeight="false" outlineLevel="0" collapsed="false">
      <c r="A63" s="0" t="s">
        <v>94</v>
      </c>
      <c r="B63" s="0" t="s">
        <v>95</v>
      </c>
      <c r="C63" s="5"/>
      <c r="D63" s="5"/>
      <c r="E63" s="5"/>
    </row>
    <row r="64" customFormat="false" ht="12.8" hidden="false" customHeight="false" outlineLevel="0" collapsed="false">
      <c r="A64" s="0" t="s">
        <v>94</v>
      </c>
      <c r="B64" s="0" t="s">
        <v>96</v>
      </c>
      <c r="C64" s="5"/>
      <c r="D64" s="5"/>
      <c r="E64" s="5"/>
    </row>
    <row r="65" customFormat="false" ht="12.8" hidden="false" customHeight="false" outlineLevel="0" collapsed="false">
      <c r="A65" s="0" t="s">
        <v>94</v>
      </c>
      <c r="B65" s="0" t="s">
        <v>97</v>
      </c>
      <c r="C65" s="5"/>
      <c r="D65" s="5"/>
      <c r="E65" s="5"/>
    </row>
    <row r="66" customFormat="false" ht="12.8" hidden="false" customHeight="false" outlineLevel="0" collapsed="false">
      <c r="A66" s="0" t="s">
        <v>98</v>
      </c>
      <c r="B66" s="0" t="s">
        <v>99</v>
      </c>
      <c r="C66" s="5"/>
      <c r="D66" s="5"/>
      <c r="E66" s="5"/>
    </row>
    <row r="67" customFormat="false" ht="12.8" hidden="false" customHeight="false" outlineLevel="0" collapsed="false">
      <c r="A67" s="0" t="s">
        <v>98</v>
      </c>
      <c r="B67" s="0" t="s">
        <v>100</v>
      </c>
      <c r="C67" s="5"/>
      <c r="D67" s="5"/>
      <c r="E67" s="5"/>
    </row>
    <row r="68" customFormat="false" ht="12.8" hidden="false" customHeight="false" outlineLevel="0" collapsed="false">
      <c r="A68" s="0" t="s">
        <v>98</v>
      </c>
      <c r="B68" s="0" t="s">
        <v>101</v>
      </c>
      <c r="C68" s="5"/>
      <c r="D68" s="5"/>
      <c r="E68" s="5"/>
    </row>
    <row r="69" customFormat="false" ht="12.8" hidden="false" customHeight="false" outlineLevel="0" collapsed="false">
      <c r="A69" s="0" t="s">
        <v>102</v>
      </c>
      <c r="B69" s="0" t="s">
        <v>103</v>
      </c>
      <c r="C69" s="5"/>
      <c r="D69" s="5"/>
      <c r="E69" s="5"/>
    </row>
    <row r="70" customFormat="false" ht="12.8" hidden="false" customHeight="false" outlineLevel="0" collapsed="false">
      <c r="A70" s="0" t="s">
        <v>102</v>
      </c>
      <c r="B70" s="0" t="s">
        <v>104</v>
      </c>
      <c r="C70" s="5"/>
      <c r="D70" s="5"/>
      <c r="E70" s="5"/>
    </row>
    <row r="71" customFormat="false" ht="12.8" hidden="false" customHeight="false" outlineLevel="0" collapsed="false">
      <c r="A71" s="0" t="s">
        <v>102</v>
      </c>
      <c r="B71" s="0" t="s">
        <v>105</v>
      </c>
      <c r="C71" s="5"/>
      <c r="D71" s="5"/>
      <c r="E71" s="5"/>
    </row>
    <row r="72" customFormat="false" ht="12.8" hidden="false" customHeight="false" outlineLevel="0" collapsed="false">
      <c r="A72" s="0" t="s">
        <v>106</v>
      </c>
      <c r="B72" s="0" t="s">
        <v>107</v>
      </c>
      <c r="C72" s="5"/>
      <c r="D72" s="5"/>
      <c r="E72" s="5"/>
    </row>
    <row r="73" customFormat="false" ht="12.8" hidden="false" customHeight="false" outlineLevel="0" collapsed="false">
      <c r="A73" s="0" t="s">
        <v>108</v>
      </c>
      <c r="B73" s="0" t="s">
        <v>109</v>
      </c>
      <c r="C73" s="5"/>
      <c r="D73" s="5"/>
      <c r="E73" s="5"/>
    </row>
    <row r="74" customFormat="false" ht="12.8" hidden="false" customHeight="false" outlineLevel="0" collapsed="false">
      <c r="A74" s="0" t="s">
        <v>3</v>
      </c>
      <c r="B74" s="0" t="s">
        <v>110</v>
      </c>
      <c r="C74" s="5"/>
      <c r="D74" s="5"/>
      <c r="E74" s="5"/>
    </row>
    <row r="75" customFormat="false" ht="12.8" hidden="false" customHeight="false" outlineLevel="0" collapsed="false">
      <c r="A75" s="0" t="s">
        <v>5</v>
      </c>
      <c r="B75" s="0" t="s">
        <v>111</v>
      </c>
      <c r="C75" s="5"/>
      <c r="D75" s="5"/>
      <c r="E75" s="5"/>
    </row>
    <row r="76" customFormat="false" ht="12.8" hidden="false" customHeight="false" outlineLevel="0" collapsed="false">
      <c r="A76" s="0" t="s">
        <v>7</v>
      </c>
      <c r="B76" s="0" t="s">
        <v>112</v>
      </c>
      <c r="C76" s="5"/>
      <c r="D76" s="5"/>
      <c r="E76" s="5"/>
    </row>
    <row r="77" customFormat="false" ht="12.8" hidden="false" customHeight="false" outlineLevel="0" collapsed="false">
      <c r="A77" s="0" t="s">
        <v>9</v>
      </c>
      <c r="B77" s="0" t="s">
        <v>113</v>
      </c>
      <c r="C77" s="5"/>
      <c r="D77" s="5"/>
      <c r="E77" s="5"/>
    </row>
    <row r="78" customFormat="false" ht="12.8" hidden="false" customHeight="false" outlineLevel="0" collapsed="false">
      <c r="A78" s="0" t="s">
        <v>11</v>
      </c>
      <c r="B78" s="0" t="s">
        <v>114</v>
      </c>
      <c r="C78" s="5"/>
      <c r="D78" s="5"/>
      <c r="E78" s="5"/>
    </row>
    <row r="79" customFormat="false" ht="12.8" hidden="false" customHeight="false" outlineLevel="0" collapsed="false">
      <c r="A79" s="0" t="s">
        <v>13</v>
      </c>
      <c r="B79" s="0" t="s">
        <v>115</v>
      </c>
      <c r="C79" s="5"/>
      <c r="D79" s="5"/>
      <c r="E79" s="5"/>
    </row>
    <row r="80" customFormat="false" ht="12.8" hidden="false" customHeight="false" outlineLevel="0" collapsed="false">
      <c r="A80" s="0" t="s">
        <v>18</v>
      </c>
      <c r="B80" s="0" t="s">
        <v>116</v>
      </c>
      <c r="C80" s="5"/>
      <c r="D80" s="5"/>
      <c r="E80" s="5"/>
    </row>
    <row r="81" customFormat="false" ht="12.8" hidden="false" customHeight="false" outlineLevel="0" collapsed="false">
      <c r="A81" s="0" t="s">
        <v>23</v>
      </c>
      <c r="B81" s="0" t="s">
        <v>117</v>
      </c>
      <c r="C81" s="5"/>
      <c r="D81" s="5"/>
      <c r="E81" s="5"/>
    </row>
    <row r="82" customFormat="false" ht="12.8" hidden="false" customHeight="false" outlineLevel="0" collapsed="false">
      <c r="A82" s="0" t="s">
        <v>23</v>
      </c>
      <c r="B82" s="0" t="s">
        <v>118</v>
      </c>
      <c r="C82" s="5"/>
      <c r="D82" s="5"/>
      <c r="E82" s="5"/>
    </row>
    <row r="83" customFormat="false" ht="12.8" hidden="false" customHeight="false" outlineLevel="0" collapsed="false">
      <c r="A83" s="0" t="s">
        <v>119</v>
      </c>
      <c r="B83" s="0" t="s">
        <v>120</v>
      </c>
      <c r="C83" s="5"/>
      <c r="D83" s="5"/>
      <c r="E83" s="5"/>
    </row>
    <row r="84" customFormat="false" ht="12.8" hidden="false" customHeight="false" outlineLevel="0" collapsed="false">
      <c r="A84" s="0" t="s">
        <v>121</v>
      </c>
      <c r="B84" s="0" t="s">
        <v>122</v>
      </c>
      <c r="C84" s="5"/>
      <c r="D84" s="5"/>
      <c r="E84" s="5"/>
    </row>
    <row r="85" customFormat="false" ht="12.8" hidden="false" customHeight="false" outlineLevel="0" collapsed="false">
      <c r="A85" s="0" t="s">
        <v>123</v>
      </c>
      <c r="B85" s="0" t="s">
        <v>124</v>
      </c>
      <c r="C85" s="5"/>
      <c r="D85" s="5"/>
      <c r="E85" s="5"/>
    </row>
    <row r="86" customFormat="false" ht="12.8" hidden="false" customHeight="false" outlineLevel="0" collapsed="false">
      <c r="A86" s="0" t="s">
        <v>123</v>
      </c>
      <c r="B86" s="0" t="s">
        <v>125</v>
      </c>
      <c r="C86" s="5"/>
      <c r="D86" s="5"/>
      <c r="E86" s="5"/>
    </row>
    <row r="87" customFormat="false" ht="12.8" hidden="false" customHeight="false" outlineLevel="0" collapsed="false">
      <c r="A87" s="0" t="s">
        <v>123</v>
      </c>
      <c r="B87" s="0" t="s">
        <v>126</v>
      </c>
      <c r="C87" s="5"/>
      <c r="D87" s="5"/>
      <c r="E87" s="5"/>
    </row>
    <row r="88" customFormat="false" ht="12.8" hidden="false" customHeight="false" outlineLevel="0" collapsed="false">
      <c r="A88" s="0" t="s">
        <v>45</v>
      </c>
      <c r="B88" s="0" t="s">
        <v>127</v>
      </c>
      <c r="C88" s="5"/>
      <c r="D88" s="5"/>
      <c r="E88" s="5"/>
    </row>
    <row r="89" customFormat="false" ht="12.8" hidden="false" customHeight="false" outlineLevel="0" collapsed="false">
      <c r="A89" s="0" t="s">
        <v>26</v>
      </c>
      <c r="B89" s="0" t="s">
        <v>128</v>
      </c>
      <c r="C89" s="5"/>
      <c r="D89" s="5"/>
      <c r="E89" s="5"/>
    </row>
    <row r="90" customFormat="false" ht="12.8" hidden="false" customHeight="false" outlineLevel="0" collapsed="false">
      <c r="A90" s="0" t="s">
        <v>129</v>
      </c>
      <c r="B90" s="0" t="s">
        <v>130</v>
      </c>
      <c r="C90" s="5"/>
      <c r="D90" s="5"/>
      <c r="E90" s="5"/>
    </row>
    <row r="91" customFormat="false" ht="12.8" hidden="false" customHeight="false" outlineLevel="0" collapsed="false">
      <c r="A91" s="0" t="s">
        <v>47</v>
      </c>
      <c r="B91" s="0" t="s">
        <v>131</v>
      </c>
      <c r="C91" s="5"/>
      <c r="D91" s="5"/>
      <c r="E91" s="5"/>
    </row>
    <row r="92" customFormat="false" ht="12.8" hidden="false" customHeight="false" outlineLevel="0" collapsed="false">
      <c r="A92" s="0" t="s">
        <v>49</v>
      </c>
      <c r="B92" s="0" t="s">
        <v>132</v>
      </c>
      <c r="C92" s="5"/>
      <c r="D92" s="5"/>
      <c r="E92" s="5"/>
    </row>
    <row r="93" customFormat="false" ht="12.8" hidden="false" customHeight="false" outlineLevel="0" collapsed="false">
      <c r="A93" s="0" t="s">
        <v>133</v>
      </c>
      <c r="B93" s="0" t="s">
        <v>134</v>
      </c>
      <c r="C93" s="5"/>
      <c r="D93" s="5"/>
      <c r="E93" s="5"/>
    </row>
    <row r="94" customFormat="false" ht="12.8" hidden="false" customHeight="false" outlineLevel="0" collapsed="false">
      <c r="A94" s="0" t="s">
        <v>135</v>
      </c>
      <c r="B94" s="0" t="s">
        <v>136</v>
      </c>
      <c r="C94" s="5"/>
      <c r="D94" s="5"/>
      <c r="E94" s="5"/>
    </row>
    <row r="95" customFormat="false" ht="12.8" hidden="false" customHeight="false" outlineLevel="0" collapsed="false">
      <c r="A95" s="0" t="s">
        <v>135</v>
      </c>
      <c r="B95" s="0" t="s">
        <v>137</v>
      </c>
      <c r="C95" s="5"/>
      <c r="D95" s="5"/>
      <c r="E95" s="5"/>
    </row>
    <row r="96" customFormat="false" ht="12.8" hidden="false" customHeight="false" outlineLevel="0" collapsed="false">
      <c r="A96" s="0" t="s">
        <v>135</v>
      </c>
      <c r="B96" s="0" t="s">
        <v>138</v>
      </c>
      <c r="C96" s="5"/>
      <c r="D96" s="5"/>
      <c r="E96" s="5"/>
    </row>
    <row r="97" customFormat="false" ht="12.8" hidden="false" customHeight="false" outlineLevel="0" collapsed="false">
      <c r="A97" s="0" t="s">
        <v>135</v>
      </c>
      <c r="B97" s="0" t="s">
        <v>139</v>
      </c>
      <c r="C97" s="5"/>
      <c r="D97" s="5"/>
      <c r="E97" s="5"/>
    </row>
    <row r="98" customFormat="false" ht="12.8" hidden="false" customHeight="false" outlineLevel="0" collapsed="false">
      <c r="A98" s="0" t="s">
        <v>140</v>
      </c>
      <c r="B98" s="0" t="s">
        <v>141</v>
      </c>
      <c r="C98" s="5"/>
      <c r="D98" s="5"/>
      <c r="E98" s="5"/>
    </row>
    <row r="99" customFormat="false" ht="12.8" hidden="false" customHeight="false" outlineLevel="0" collapsed="false">
      <c r="A99" s="0" t="s">
        <v>142</v>
      </c>
      <c r="B99" s="0" t="s">
        <v>143</v>
      </c>
      <c r="C99" s="5"/>
      <c r="D99" s="5"/>
      <c r="E99" s="5"/>
    </row>
    <row r="100" customFormat="false" ht="12.8" hidden="false" customHeight="false" outlineLevel="0" collapsed="false">
      <c r="A100" s="0" t="s">
        <v>142</v>
      </c>
      <c r="B100" s="0" t="s">
        <v>144</v>
      </c>
      <c r="C100" s="5"/>
      <c r="D100" s="5"/>
      <c r="E100" s="5"/>
    </row>
    <row r="101" customFormat="false" ht="12.8" hidden="false" customHeight="false" outlineLevel="0" collapsed="false">
      <c r="A101" s="0" t="s">
        <v>142</v>
      </c>
      <c r="B101" s="0" t="s">
        <v>145</v>
      </c>
      <c r="C101" s="5"/>
      <c r="D101" s="5"/>
      <c r="E101" s="5"/>
    </row>
    <row r="102" customFormat="false" ht="12.8" hidden="false" customHeight="false" outlineLevel="0" collapsed="false">
      <c r="A102" s="0" t="s">
        <v>142</v>
      </c>
      <c r="B102" s="0" t="s">
        <v>146</v>
      </c>
      <c r="C102" s="5"/>
      <c r="D102" s="5"/>
      <c r="E102" s="5"/>
    </row>
    <row r="103" customFormat="false" ht="12.8" hidden="false" customHeight="false" outlineLevel="0" collapsed="false">
      <c r="A103" s="0" t="s">
        <v>147</v>
      </c>
      <c r="B103" s="0" t="s">
        <v>148</v>
      </c>
      <c r="C103" s="5"/>
      <c r="D103" s="5"/>
      <c r="E103" s="5"/>
    </row>
    <row r="104" customFormat="false" ht="12.8" hidden="false" customHeight="false" outlineLevel="0" collapsed="false">
      <c r="A104" s="0" t="s">
        <v>68</v>
      </c>
      <c r="B104" s="0" t="s">
        <v>149</v>
      </c>
      <c r="C104" s="5"/>
      <c r="D104" s="5"/>
      <c r="E104" s="5"/>
    </row>
    <row r="105" customFormat="false" ht="12.8" hidden="false" customHeight="false" outlineLevel="0" collapsed="false">
      <c r="A105" s="0" t="s">
        <v>68</v>
      </c>
      <c r="B105" s="0" t="s">
        <v>150</v>
      </c>
      <c r="C105" s="5"/>
      <c r="D105" s="5"/>
      <c r="E105" s="5"/>
    </row>
    <row r="106" customFormat="false" ht="12.8" hidden="false" customHeight="false" outlineLevel="0" collapsed="false">
      <c r="A106" s="0" t="s">
        <v>68</v>
      </c>
      <c r="B106" s="0" t="s">
        <v>151</v>
      </c>
      <c r="C106" s="5"/>
      <c r="D106" s="5"/>
      <c r="E106" s="5"/>
    </row>
    <row r="107" customFormat="false" ht="12.8" hidden="false" customHeight="false" outlineLevel="0" collapsed="false">
      <c r="A107" s="0" t="s">
        <v>68</v>
      </c>
      <c r="B107" s="0" t="s">
        <v>152</v>
      </c>
      <c r="C107" s="5"/>
      <c r="D107" s="5"/>
      <c r="E107" s="5"/>
    </row>
    <row r="108" customFormat="false" ht="12.8" hidden="false" customHeight="false" outlineLevel="0" collapsed="false">
      <c r="A108" s="0" t="s">
        <v>153</v>
      </c>
      <c r="B108" s="0" t="s">
        <v>154</v>
      </c>
      <c r="C108" s="5"/>
      <c r="D108" s="5"/>
      <c r="E108" s="5"/>
    </row>
    <row r="109" customFormat="false" ht="12.8" hidden="false" customHeight="false" outlineLevel="0" collapsed="false">
      <c r="A109" s="0" t="s">
        <v>74</v>
      </c>
      <c r="B109" s="0" t="s">
        <v>155</v>
      </c>
      <c r="C109" s="5"/>
      <c r="D109" s="5"/>
      <c r="E109" s="5"/>
    </row>
    <row r="110" customFormat="false" ht="12.8" hidden="false" customHeight="false" outlineLevel="0" collapsed="false">
      <c r="A110" s="0" t="s">
        <v>76</v>
      </c>
      <c r="B110" s="0" t="s">
        <v>156</v>
      </c>
      <c r="C110" s="5"/>
      <c r="D110" s="5"/>
      <c r="E110" s="5"/>
    </row>
    <row r="111" customFormat="false" ht="12.8" hidden="false" customHeight="false" outlineLevel="0" collapsed="false">
      <c r="A111" s="0" t="s">
        <v>82</v>
      </c>
      <c r="B111" s="0" t="s">
        <v>157</v>
      </c>
      <c r="C111" s="5"/>
      <c r="D111" s="5"/>
      <c r="E111" s="5"/>
    </row>
    <row r="112" customFormat="false" ht="12.8" hidden="false" customHeight="false" outlineLevel="0" collapsed="false">
      <c r="A112" s="0" t="s">
        <v>84</v>
      </c>
      <c r="B112" s="0" t="s">
        <v>158</v>
      </c>
      <c r="C112" s="5"/>
      <c r="D112" s="5"/>
      <c r="E112" s="5"/>
    </row>
    <row r="113" customFormat="false" ht="12.8" hidden="false" customHeight="false" outlineLevel="0" collapsed="false">
      <c r="A113" s="0" t="s">
        <v>86</v>
      </c>
      <c r="B113" s="0" t="s">
        <v>159</v>
      </c>
      <c r="C113" s="5"/>
      <c r="D113" s="5"/>
      <c r="E113" s="5"/>
    </row>
    <row r="114" customFormat="false" ht="12.8" hidden="false" customHeight="false" outlineLevel="0" collapsed="false">
      <c r="A114" s="0" t="s">
        <v>88</v>
      </c>
      <c r="B114" s="0" t="s">
        <v>160</v>
      </c>
      <c r="C114" s="5"/>
      <c r="D114" s="5"/>
      <c r="E114" s="5"/>
    </row>
    <row r="115" customFormat="false" ht="12.8" hidden="false" customHeight="false" outlineLevel="0" collapsed="false">
      <c r="A115" s="0" t="s">
        <v>74</v>
      </c>
      <c r="B115" s="0" t="s">
        <v>161</v>
      </c>
      <c r="C115" s="5"/>
      <c r="D115" s="5"/>
      <c r="E115" s="5"/>
    </row>
    <row r="116" customFormat="false" ht="12.8" hidden="false" customHeight="false" outlineLevel="0" collapsed="false">
      <c r="A116" s="0" t="s">
        <v>76</v>
      </c>
      <c r="B116" s="0" t="s">
        <v>162</v>
      </c>
      <c r="C116" s="5"/>
      <c r="D116" s="5"/>
      <c r="E116" s="5"/>
    </row>
    <row r="117" customFormat="false" ht="12.8" hidden="false" customHeight="false" outlineLevel="0" collapsed="false">
      <c r="A117" s="0" t="s">
        <v>94</v>
      </c>
      <c r="B117" s="0" t="s">
        <v>163</v>
      </c>
      <c r="C117" s="5"/>
      <c r="D117" s="5"/>
      <c r="E117" s="5"/>
    </row>
    <row r="118" customFormat="false" ht="12.8" hidden="false" customHeight="false" outlineLevel="0" collapsed="false">
      <c r="A118" s="0" t="s">
        <v>94</v>
      </c>
      <c r="B118" s="0" t="s">
        <v>164</v>
      </c>
      <c r="C118" s="5"/>
      <c r="D118" s="5"/>
      <c r="E118" s="5"/>
    </row>
    <row r="119" customFormat="false" ht="12.8" hidden="false" customHeight="false" outlineLevel="0" collapsed="false">
      <c r="A119" s="0" t="s">
        <v>94</v>
      </c>
      <c r="B119" s="0" t="s">
        <v>165</v>
      </c>
      <c r="C119" s="5"/>
      <c r="D119" s="5"/>
      <c r="E119" s="5"/>
    </row>
    <row r="120" customFormat="false" ht="12.8" hidden="false" customHeight="false" outlineLevel="0" collapsed="false">
      <c r="A120" s="0" t="s">
        <v>98</v>
      </c>
      <c r="B120" s="0" t="s">
        <v>166</v>
      </c>
      <c r="C120" s="5"/>
      <c r="D120" s="5"/>
      <c r="E120" s="5"/>
    </row>
    <row r="121" customFormat="false" ht="12.8" hidden="false" customHeight="false" outlineLevel="0" collapsed="false">
      <c r="A121" s="0" t="s">
        <v>98</v>
      </c>
      <c r="B121" s="0" t="s">
        <v>167</v>
      </c>
      <c r="C121" s="5"/>
      <c r="D121" s="5"/>
      <c r="E121" s="5"/>
    </row>
    <row r="122" customFormat="false" ht="12.8" hidden="false" customHeight="false" outlineLevel="0" collapsed="false">
      <c r="A122" s="0" t="s">
        <v>98</v>
      </c>
      <c r="B122" s="0" t="s">
        <v>168</v>
      </c>
      <c r="C122" s="5"/>
      <c r="D122" s="5"/>
      <c r="E122" s="5"/>
    </row>
    <row r="123" customFormat="false" ht="12.8" hidden="false" customHeight="false" outlineLevel="0" collapsed="false">
      <c r="A123" s="0" t="s">
        <v>102</v>
      </c>
      <c r="B123" s="0" t="s">
        <v>169</v>
      </c>
      <c r="C123" s="5"/>
      <c r="D123" s="5"/>
      <c r="E123" s="5"/>
    </row>
    <row r="124" customFormat="false" ht="12.8" hidden="false" customHeight="false" outlineLevel="0" collapsed="false">
      <c r="A124" s="0" t="s">
        <v>102</v>
      </c>
      <c r="B124" s="0" t="s">
        <v>170</v>
      </c>
      <c r="C124" s="5"/>
      <c r="D124" s="5"/>
      <c r="E124" s="5"/>
    </row>
    <row r="125" customFormat="false" ht="12.8" hidden="false" customHeight="false" outlineLevel="0" collapsed="false">
      <c r="A125" s="0" t="s">
        <v>102</v>
      </c>
      <c r="B125" s="0" t="s">
        <v>171</v>
      </c>
      <c r="C125" s="5"/>
      <c r="D125" s="5"/>
      <c r="E125" s="5"/>
    </row>
    <row r="126" customFormat="false" ht="12.8" hidden="false" customHeight="false" outlineLevel="0" collapsed="false">
      <c r="A126" s="0" t="s">
        <v>172</v>
      </c>
      <c r="B126" s="0" t="s">
        <v>173</v>
      </c>
      <c r="C126" s="5"/>
      <c r="D126" s="5"/>
      <c r="E126" s="5"/>
    </row>
    <row r="127" customFormat="false" ht="12.8" hidden="false" customHeight="false" outlineLevel="0" collapsed="false">
      <c r="A127" s="0" t="s">
        <v>174</v>
      </c>
      <c r="B127" s="0" t="s">
        <v>175</v>
      </c>
      <c r="C127" s="5"/>
      <c r="D127" s="5"/>
      <c r="E127" s="5"/>
    </row>
    <row r="128" customFormat="false" ht="12.8" hidden="false" customHeight="false" outlineLevel="0" collapsed="false">
      <c r="C128" s="6"/>
      <c r="D128" s="6"/>
      <c r="E128" s="6"/>
    </row>
    <row r="129" customFormat="false" ht="12.8" hidden="false" customHeight="false" outlineLevel="0" collapsed="false">
      <c r="A129" s="3" t="s">
        <v>176</v>
      </c>
      <c r="B129" s="3"/>
      <c r="C129" s="4" t="n">
        <f aca="false">IF(C131&lt;C138,C141,C131-C138+C141)</f>
        <v>0</v>
      </c>
      <c r="D129" s="4" t="n">
        <f aca="false">IF(D131&lt;D138,D141,D131-D138+D141)</f>
        <v>0</v>
      </c>
      <c r="E129" s="4" t="n">
        <f aca="false">IF(E131&lt;E138,E141,E131-E138+E141)</f>
        <v>0</v>
      </c>
    </row>
    <row r="130" customFormat="false" ht="12.8" hidden="false" customHeight="false" outlineLevel="0" collapsed="false">
      <c r="C130" s="6"/>
      <c r="D130" s="6"/>
      <c r="E130" s="6"/>
    </row>
    <row r="131" customFormat="false" ht="12.8" hidden="false" customHeight="false" outlineLevel="0" collapsed="false">
      <c r="A131" s="3" t="s">
        <v>177</v>
      </c>
      <c r="B131" s="3"/>
      <c r="C131" s="4" t="n">
        <f aca="false">SUM(C132:C136)</f>
        <v>0</v>
      </c>
      <c r="D131" s="4" t="n">
        <f aca="false">SUM(D132:D136)</f>
        <v>0</v>
      </c>
      <c r="E131" s="4" t="n">
        <f aca="false">SUM(E132:E136)</f>
        <v>0</v>
      </c>
    </row>
    <row r="132" customFormat="false" ht="12.8" hidden="false" customHeight="false" outlineLevel="0" collapsed="false">
      <c r="A132" s="0" t="s">
        <v>178</v>
      </c>
      <c r="B132" s="0" t="s">
        <v>179</v>
      </c>
      <c r="C132" s="5"/>
      <c r="D132" s="5"/>
      <c r="E132" s="5"/>
    </row>
    <row r="133" customFormat="false" ht="12.8" hidden="false" customHeight="false" outlineLevel="0" collapsed="false">
      <c r="A133" s="0" t="s">
        <v>180</v>
      </c>
      <c r="B133" s="0" t="s">
        <v>181</v>
      </c>
      <c r="C133" s="5"/>
      <c r="D133" s="5"/>
      <c r="E133" s="5"/>
    </row>
    <row r="134" customFormat="false" ht="12.8" hidden="false" customHeight="false" outlineLevel="0" collapsed="false">
      <c r="A134" s="0" t="s">
        <v>182</v>
      </c>
      <c r="B134" s="0" t="s">
        <v>183</v>
      </c>
      <c r="C134" s="5"/>
      <c r="D134" s="5"/>
      <c r="E134" s="5"/>
    </row>
    <row r="135" customFormat="false" ht="12.8" hidden="false" customHeight="false" outlineLevel="0" collapsed="false">
      <c r="A135" s="0" t="s">
        <v>184</v>
      </c>
      <c r="B135" s="0" t="s">
        <v>185</v>
      </c>
      <c r="C135" s="5"/>
      <c r="D135" s="5"/>
      <c r="E135" s="5"/>
    </row>
    <row r="136" customFormat="false" ht="12.8" hidden="false" customHeight="false" outlineLevel="0" collapsed="false">
      <c r="A136" s="0" t="s">
        <v>186</v>
      </c>
      <c r="B136" s="0" t="s">
        <v>187</v>
      </c>
      <c r="C136" s="5"/>
      <c r="D136" s="5"/>
      <c r="E136" s="5"/>
    </row>
    <row r="137" customFormat="false" ht="12.8" hidden="false" customHeight="false" outlineLevel="0" collapsed="false">
      <c r="C137" s="6"/>
      <c r="D137" s="6"/>
      <c r="E137" s="6"/>
    </row>
    <row r="138" customFormat="false" ht="12.8" hidden="false" customHeight="false" outlineLevel="0" collapsed="false">
      <c r="A138" s="3" t="s">
        <v>188</v>
      </c>
      <c r="B138" s="3"/>
      <c r="C138" s="4" t="n">
        <f aca="false">SUM(C139)</f>
        <v>0</v>
      </c>
      <c r="D138" s="4" t="n">
        <f aca="false">SUM(D139)</f>
        <v>0</v>
      </c>
      <c r="E138" s="4" t="n">
        <f aca="false">SUM(E139)</f>
        <v>0</v>
      </c>
    </row>
    <row r="139" customFormat="false" ht="12.8" hidden="false" customHeight="false" outlineLevel="0" collapsed="false">
      <c r="A139" s="0" t="s">
        <v>189</v>
      </c>
      <c r="B139" s="0" t="s">
        <v>190</v>
      </c>
      <c r="C139" s="5"/>
      <c r="D139" s="5"/>
      <c r="E139" s="5"/>
    </row>
    <row r="140" customFormat="false" ht="12.8" hidden="false" customHeight="false" outlineLevel="0" collapsed="false">
      <c r="C140" s="6"/>
      <c r="D140" s="6"/>
      <c r="E140" s="6"/>
    </row>
    <row r="141" customFormat="false" ht="12.8" hidden="false" customHeight="false" outlineLevel="0" collapsed="false">
      <c r="A141" s="3" t="s">
        <v>191</v>
      </c>
      <c r="B141" s="3"/>
      <c r="C141" s="4" t="n">
        <f aca="false">SUM(C142:C153,C159:C165,C167:C168,C170,C174:C182)-SUM(C154:C158,C166,C169,C171:C173)</f>
        <v>0</v>
      </c>
      <c r="D141" s="4" t="n">
        <f aca="false">SUM(D142:D153,D159:D165,D167:D168,D170,D174:D182)-SUM(D154:D158,D166,D169,D171:D173)</f>
        <v>0</v>
      </c>
      <c r="E141" s="4" t="n">
        <f aca="false">SUM(E142:E153,E159:E165,E167:E168,E170,E174:E182)-SUM(E154:E158,E166,E169,E171:E173)</f>
        <v>0</v>
      </c>
    </row>
    <row r="142" customFormat="false" ht="12.8" hidden="false" customHeight="false" outlineLevel="0" collapsed="false">
      <c r="A142" s="0" t="s">
        <v>192</v>
      </c>
      <c r="B142" s="0" t="s">
        <v>193</v>
      </c>
      <c r="C142" s="5"/>
      <c r="D142" s="5"/>
      <c r="E142" s="5"/>
    </row>
    <row r="143" customFormat="false" ht="12.8" hidden="false" customHeight="false" outlineLevel="0" collapsed="false">
      <c r="A143" s="0" t="s">
        <v>192</v>
      </c>
      <c r="B143" s="0" t="s">
        <v>194</v>
      </c>
      <c r="C143" s="5"/>
      <c r="D143" s="5"/>
      <c r="E143" s="5"/>
    </row>
    <row r="144" customFormat="false" ht="12.8" hidden="false" customHeight="false" outlineLevel="0" collapsed="false">
      <c r="A144" s="0" t="s">
        <v>192</v>
      </c>
      <c r="B144" s="0" t="s">
        <v>195</v>
      </c>
      <c r="C144" s="5"/>
      <c r="D144" s="5"/>
      <c r="E144" s="5"/>
    </row>
    <row r="145" customFormat="false" ht="12.8" hidden="false" customHeight="false" outlineLevel="0" collapsed="false">
      <c r="A145" s="0" t="s">
        <v>192</v>
      </c>
      <c r="B145" s="0" t="s">
        <v>196</v>
      </c>
      <c r="C145" s="5"/>
      <c r="D145" s="5"/>
      <c r="E145" s="5"/>
    </row>
    <row r="146" customFormat="false" ht="12.8" hidden="false" customHeight="false" outlineLevel="0" collapsed="false">
      <c r="A146" s="0" t="s">
        <v>197</v>
      </c>
      <c r="B146" s="0" t="s">
        <v>198</v>
      </c>
      <c r="C146" s="5"/>
      <c r="D146" s="5"/>
      <c r="E146" s="5"/>
    </row>
    <row r="147" customFormat="false" ht="12.8" hidden="false" customHeight="false" outlineLevel="0" collapsed="false">
      <c r="A147" s="0" t="s">
        <v>197</v>
      </c>
      <c r="B147" s="0" t="s">
        <v>199</v>
      </c>
      <c r="C147" s="5"/>
      <c r="D147" s="5"/>
      <c r="E147" s="5"/>
    </row>
    <row r="148" customFormat="false" ht="12.8" hidden="false" customHeight="false" outlineLevel="0" collapsed="false">
      <c r="A148" s="0" t="s">
        <v>197</v>
      </c>
      <c r="B148" s="0" t="s">
        <v>200</v>
      </c>
      <c r="C148" s="5"/>
      <c r="D148" s="5"/>
      <c r="E148" s="5"/>
    </row>
    <row r="149" customFormat="false" ht="12.8" hidden="false" customHeight="false" outlineLevel="0" collapsed="false">
      <c r="A149" s="0" t="s">
        <v>197</v>
      </c>
      <c r="B149" s="0" t="s">
        <v>201</v>
      </c>
      <c r="C149" s="5"/>
      <c r="D149" s="5"/>
      <c r="E149" s="5"/>
    </row>
    <row r="150" customFormat="false" ht="12.8" hidden="false" customHeight="false" outlineLevel="0" collapsed="false">
      <c r="A150" s="0" t="s">
        <v>202</v>
      </c>
      <c r="B150" s="0" t="s">
        <v>203</v>
      </c>
      <c r="C150" s="5"/>
      <c r="D150" s="5"/>
      <c r="E150" s="5"/>
    </row>
    <row r="151" customFormat="false" ht="12.8" hidden="false" customHeight="false" outlineLevel="0" collapsed="false">
      <c r="A151" s="0" t="s">
        <v>202</v>
      </c>
      <c r="B151" s="0" t="s">
        <v>204</v>
      </c>
      <c r="C151" s="5"/>
      <c r="D151" s="5"/>
      <c r="E151" s="5"/>
    </row>
    <row r="152" customFormat="false" ht="12.8" hidden="false" customHeight="false" outlineLevel="0" collapsed="false">
      <c r="A152" s="0" t="s">
        <v>202</v>
      </c>
      <c r="B152" s="0" t="s">
        <v>205</v>
      </c>
      <c r="C152" s="5"/>
      <c r="D152" s="5"/>
      <c r="E152" s="5"/>
    </row>
    <row r="153" customFormat="false" ht="12.8" hidden="false" customHeight="false" outlineLevel="0" collapsed="false">
      <c r="A153" s="0" t="s">
        <v>202</v>
      </c>
      <c r="B153" s="0" t="s">
        <v>206</v>
      </c>
      <c r="C153" s="5"/>
      <c r="D153" s="5"/>
      <c r="E153" s="5"/>
    </row>
    <row r="154" customFormat="false" ht="12.8" hidden="false" customHeight="false" outlineLevel="0" collapsed="false">
      <c r="A154" s="0" t="s">
        <v>207</v>
      </c>
      <c r="B154" s="0" t="s">
        <v>208</v>
      </c>
      <c r="C154" s="5"/>
      <c r="D154" s="5"/>
      <c r="E154" s="5"/>
    </row>
    <row r="155" customFormat="false" ht="12.8" hidden="false" customHeight="false" outlineLevel="0" collapsed="false">
      <c r="A155" s="0" t="s">
        <v>207</v>
      </c>
      <c r="B155" s="0" t="s">
        <v>209</v>
      </c>
      <c r="C155" s="5"/>
      <c r="D155" s="5"/>
      <c r="E155" s="5"/>
    </row>
    <row r="156" customFormat="false" ht="12.8" hidden="false" customHeight="false" outlineLevel="0" collapsed="false">
      <c r="A156" s="0" t="s">
        <v>207</v>
      </c>
      <c r="B156" s="0" t="s">
        <v>210</v>
      </c>
      <c r="C156" s="5"/>
      <c r="D156" s="5"/>
      <c r="E156" s="5"/>
    </row>
    <row r="157" customFormat="false" ht="12.8" hidden="false" customHeight="false" outlineLevel="0" collapsed="false">
      <c r="A157" s="0" t="s">
        <v>207</v>
      </c>
      <c r="B157" s="0" t="s">
        <v>211</v>
      </c>
      <c r="C157" s="5"/>
      <c r="D157" s="5"/>
      <c r="E157" s="5"/>
    </row>
    <row r="158" customFormat="false" ht="12.8" hidden="false" customHeight="false" outlineLevel="0" collapsed="false">
      <c r="A158" s="0" t="s">
        <v>207</v>
      </c>
      <c r="B158" s="0" t="s">
        <v>212</v>
      </c>
      <c r="C158" s="5"/>
      <c r="D158" s="5"/>
      <c r="E158" s="5"/>
    </row>
    <row r="159" customFormat="false" ht="12.8" hidden="false" customHeight="false" outlineLevel="0" collapsed="false">
      <c r="A159" s="0" t="s">
        <v>213</v>
      </c>
      <c r="B159" s="0" t="s">
        <v>214</v>
      </c>
      <c r="C159" s="5"/>
      <c r="D159" s="5"/>
      <c r="E159" s="5"/>
    </row>
    <row r="160" customFormat="false" ht="12.8" hidden="false" customHeight="false" outlineLevel="0" collapsed="false">
      <c r="A160" s="0" t="s">
        <v>215</v>
      </c>
      <c r="B160" s="0" t="s">
        <v>216</v>
      </c>
      <c r="C160" s="5"/>
      <c r="D160" s="5"/>
      <c r="E160" s="5"/>
    </row>
    <row r="161" customFormat="false" ht="12.8" hidden="false" customHeight="false" outlineLevel="0" collapsed="false">
      <c r="A161" s="0" t="s">
        <v>217</v>
      </c>
      <c r="B161" s="0" t="s">
        <v>218</v>
      </c>
      <c r="C161" s="5"/>
      <c r="D161" s="5"/>
      <c r="E161" s="5"/>
    </row>
    <row r="162" customFormat="false" ht="12.8" hidden="false" customHeight="false" outlineLevel="0" collapsed="false">
      <c r="A162" s="0" t="s">
        <v>219</v>
      </c>
      <c r="B162" s="0" t="s">
        <v>220</v>
      </c>
      <c r="C162" s="5"/>
      <c r="D162" s="5"/>
      <c r="E162" s="5"/>
    </row>
    <row r="163" customFormat="false" ht="12.8" hidden="false" customHeight="false" outlineLevel="0" collapsed="false">
      <c r="A163" s="0" t="s">
        <v>221</v>
      </c>
      <c r="B163" s="0" t="s">
        <v>222</v>
      </c>
      <c r="C163" s="5"/>
      <c r="D163" s="5"/>
      <c r="E163" s="5"/>
    </row>
    <row r="164" customFormat="false" ht="12.8" hidden="false" customHeight="false" outlineLevel="0" collapsed="false">
      <c r="A164" s="0" t="s">
        <v>223</v>
      </c>
      <c r="B164" s="0" t="s">
        <v>224</v>
      </c>
      <c r="C164" s="5"/>
      <c r="D164" s="5"/>
      <c r="E164" s="5"/>
    </row>
    <row r="165" customFormat="false" ht="12.8" hidden="false" customHeight="false" outlineLevel="0" collapsed="false">
      <c r="A165" s="0" t="s">
        <v>225</v>
      </c>
      <c r="B165" s="0" t="s">
        <v>226</v>
      </c>
      <c r="C165" s="5"/>
      <c r="D165" s="5"/>
      <c r="E165" s="5"/>
    </row>
    <row r="166" customFormat="false" ht="12.8" hidden="false" customHeight="false" outlineLevel="0" collapsed="false">
      <c r="A166" s="0" t="s">
        <v>227</v>
      </c>
      <c r="B166" s="0" t="s">
        <v>228</v>
      </c>
      <c r="C166" s="5"/>
      <c r="D166" s="5"/>
      <c r="E166" s="5"/>
    </row>
    <row r="167" customFormat="false" ht="12.8" hidden="false" customHeight="false" outlineLevel="0" collapsed="false">
      <c r="A167" s="0" t="s">
        <v>229</v>
      </c>
      <c r="B167" s="0" t="s">
        <v>230</v>
      </c>
      <c r="C167" s="5"/>
      <c r="D167" s="5"/>
      <c r="E167" s="5"/>
    </row>
    <row r="168" customFormat="false" ht="12.8" hidden="false" customHeight="false" outlineLevel="0" collapsed="false">
      <c r="A168" s="0" t="s">
        <v>231</v>
      </c>
      <c r="B168" s="0" t="s">
        <v>232</v>
      </c>
      <c r="C168" s="5"/>
      <c r="D168" s="5"/>
      <c r="E168" s="5"/>
    </row>
    <row r="169" customFormat="false" ht="12.8" hidden="false" customHeight="false" outlineLevel="0" collapsed="false">
      <c r="A169" s="0" t="s">
        <v>233</v>
      </c>
      <c r="B169" s="0" t="s">
        <v>234</v>
      </c>
      <c r="C169" s="5"/>
      <c r="D169" s="5"/>
      <c r="E169" s="5"/>
    </row>
    <row r="170" customFormat="false" ht="12.8" hidden="false" customHeight="false" outlineLevel="0" collapsed="false">
      <c r="A170" s="0" t="s">
        <v>235</v>
      </c>
      <c r="B170" s="0" t="s">
        <v>236</v>
      </c>
      <c r="C170" s="5"/>
      <c r="D170" s="5"/>
      <c r="E170" s="5"/>
    </row>
    <row r="171" customFormat="false" ht="12.8" hidden="false" customHeight="false" outlineLevel="0" collapsed="false">
      <c r="A171" s="0" t="s">
        <v>237</v>
      </c>
      <c r="B171" s="0" t="s">
        <v>238</v>
      </c>
      <c r="C171" s="5"/>
      <c r="D171" s="5"/>
      <c r="E171" s="5"/>
    </row>
    <row r="172" customFormat="false" ht="12.8" hidden="false" customHeight="false" outlineLevel="0" collapsed="false">
      <c r="A172" s="0" t="s">
        <v>237</v>
      </c>
      <c r="B172" s="0" t="s">
        <v>239</v>
      </c>
      <c r="C172" s="5"/>
      <c r="D172" s="5"/>
      <c r="E172" s="5"/>
    </row>
    <row r="173" customFormat="false" ht="12.8" hidden="false" customHeight="false" outlineLevel="0" collapsed="false">
      <c r="A173" s="0" t="s">
        <v>237</v>
      </c>
      <c r="B173" s="0" t="s">
        <v>240</v>
      </c>
      <c r="C173" s="5"/>
      <c r="D173" s="5"/>
      <c r="E173" s="5"/>
    </row>
    <row r="174" customFormat="false" ht="12.8" hidden="false" customHeight="false" outlineLevel="0" collapsed="false">
      <c r="A174" s="0" t="s">
        <v>192</v>
      </c>
      <c r="B174" s="0" t="s">
        <v>241</v>
      </c>
      <c r="C174" s="5"/>
      <c r="D174" s="5"/>
      <c r="E174" s="5"/>
    </row>
    <row r="175" customFormat="false" ht="12.8" hidden="false" customHeight="false" outlineLevel="0" collapsed="false">
      <c r="A175" s="0" t="s">
        <v>192</v>
      </c>
      <c r="B175" s="0" t="s">
        <v>242</v>
      </c>
      <c r="C175" s="5"/>
      <c r="D175" s="5"/>
      <c r="E175" s="5"/>
    </row>
    <row r="176" customFormat="false" ht="12.8" hidden="false" customHeight="false" outlineLevel="0" collapsed="false">
      <c r="A176" s="0" t="s">
        <v>243</v>
      </c>
      <c r="B176" s="0" t="s">
        <v>244</v>
      </c>
      <c r="C176" s="5"/>
      <c r="D176" s="5"/>
      <c r="E176" s="5"/>
    </row>
    <row r="177" customFormat="false" ht="12.8" hidden="false" customHeight="false" outlineLevel="0" collapsed="false">
      <c r="A177" s="0" t="s">
        <v>243</v>
      </c>
      <c r="B177" s="0" t="s">
        <v>245</v>
      </c>
      <c r="C177" s="5"/>
      <c r="D177" s="5"/>
      <c r="E177" s="5"/>
    </row>
    <row r="178" customFormat="false" ht="12.8" hidden="false" customHeight="false" outlineLevel="0" collapsed="false">
      <c r="A178" s="0" t="s">
        <v>197</v>
      </c>
      <c r="B178" s="0" t="s">
        <v>246</v>
      </c>
      <c r="C178" s="5"/>
      <c r="D178" s="5"/>
      <c r="E178" s="5"/>
    </row>
    <row r="179" customFormat="false" ht="12.8" hidden="false" customHeight="false" outlineLevel="0" collapsed="false">
      <c r="A179" s="0" t="s">
        <v>197</v>
      </c>
      <c r="B179" s="0" t="s">
        <v>247</v>
      </c>
      <c r="C179" s="5"/>
      <c r="D179" s="5"/>
      <c r="E179" s="5"/>
    </row>
    <row r="180" customFormat="false" ht="12.8" hidden="false" customHeight="false" outlineLevel="0" collapsed="false">
      <c r="A180" s="0" t="s">
        <v>248</v>
      </c>
      <c r="B180" s="0" t="s">
        <v>249</v>
      </c>
      <c r="C180" s="5"/>
      <c r="D180" s="5"/>
      <c r="E180" s="5"/>
    </row>
    <row r="181" customFormat="false" ht="12.8" hidden="false" customHeight="false" outlineLevel="0" collapsed="false">
      <c r="A181" s="0" t="s">
        <v>248</v>
      </c>
      <c r="B181" s="0" t="s">
        <v>250</v>
      </c>
      <c r="C181" s="5"/>
      <c r="D181" s="5"/>
      <c r="E181" s="5"/>
    </row>
    <row r="182" customFormat="false" ht="12.8" hidden="false" customHeight="false" outlineLevel="0" collapsed="false">
      <c r="A182" s="0" t="s">
        <v>251</v>
      </c>
      <c r="B182" s="0" t="s">
        <v>252</v>
      </c>
      <c r="C182" s="5"/>
      <c r="D182" s="5"/>
      <c r="E182" s="5"/>
    </row>
    <row r="183" customFormat="false" ht="12.8" hidden="false" customHeight="false" outlineLevel="0" collapsed="false">
      <c r="C183" s="6"/>
      <c r="D183" s="6"/>
      <c r="E183" s="6"/>
    </row>
    <row r="184" customFormat="false" ht="12.8" hidden="false" customHeight="false" outlineLevel="0" collapsed="false">
      <c r="A184" s="3" t="s">
        <v>253</v>
      </c>
      <c r="B184" s="3"/>
      <c r="C184" s="4" t="n">
        <f aca="false">C2-C129</f>
        <v>0</v>
      </c>
      <c r="D184" s="4" t="n">
        <f aca="false">D2-D129</f>
        <v>0</v>
      </c>
      <c r="E184" s="4" t="n">
        <f aca="false">E2-E129</f>
        <v>0</v>
      </c>
    </row>
    <row r="185" customFormat="false" ht="12.8" hidden="false" customHeight="false" outlineLevel="0" collapsed="false">
      <c r="C185" s="6"/>
      <c r="D185" s="6"/>
      <c r="E185" s="6"/>
    </row>
    <row r="186" customFormat="false" ht="12.8" hidden="false" customHeight="false" outlineLevel="0" collapsed="false">
      <c r="A186" s="3" t="s">
        <v>254</v>
      </c>
      <c r="B186" s="3"/>
      <c r="C186" s="4" t="n">
        <f aca="false">SUM(C187:C236)</f>
        <v>0</v>
      </c>
      <c r="D186" s="4" t="n">
        <f aca="false">SUM(D187:D236)</f>
        <v>0</v>
      </c>
      <c r="E186" s="4" t="n">
        <f aca="false">SUM(E187:E236)</f>
        <v>0</v>
      </c>
    </row>
    <row r="187" customFormat="false" ht="12.8" hidden="false" customHeight="false" outlineLevel="0" collapsed="false">
      <c r="A187" s="0" t="s">
        <v>255</v>
      </c>
      <c r="B187" s="0" t="s">
        <v>256</v>
      </c>
      <c r="C187" s="5"/>
      <c r="D187" s="5"/>
      <c r="E187" s="5"/>
    </row>
    <row r="188" customFormat="false" ht="12.8" hidden="false" customHeight="false" outlineLevel="0" collapsed="false">
      <c r="A188" s="0" t="s">
        <v>257</v>
      </c>
      <c r="B188" s="0" t="s">
        <v>258</v>
      </c>
      <c r="C188" s="5"/>
      <c r="D188" s="5"/>
      <c r="E188" s="5"/>
    </row>
    <row r="189" customFormat="false" ht="12.8" hidden="false" customHeight="false" outlineLevel="0" collapsed="false">
      <c r="A189" s="0" t="s">
        <v>259</v>
      </c>
      <c r="B189" s="0" t="s">
        <v>260</v>
      </c>
      <c r="C189" s="5"/>
      <c r="D189" s="5"/>
      <c r="E189" s="5"/>
    </row>
    <row r="190" customFormat="false" ht="12.8" hidden="false" customHeight="false" outlineLevel="0" collapsed="false">
      <c r="A190" s="0" t="s">
        <v>261</v>
      </c>
      <c r="B190" s="0" t="s">
        <v>262</v>
      </c>
      <c r="C190" s="5"/>
      <c r="D190" s="5"/>
      <c r="E190" s="5"/>
    </row>
    <row r="191" customFormat="false" ht="12.8" hidden="false" customHeight="false" outlineLevel="0" collapsed="false">
      <c r="A191" s="0" t="s">
        <v>263</v>
      </c>
      <c r="B191" s="0" t="s">
        <v>264</v>
      </c>
      <c r="C191" s="5"/>
      <c r="D191" s="5"/>
      <c r="E191" s="5"/>
    </row>
    <row r="192" customFormat="false" ht="12.8" hidden="false" customHeight="false" outlineLevel="0" collapsed="false">
      <c r="A192" s="0" t="s">
        <v>265</v>
      </c>
      <c r="B192" s="0" t="s">
        <v>266</v>
      </c>
      <c r="C192" s="5"/>
      <c r="D192" s="5"/>
      <c r="E192" s="5"/>
    </row>
    <row r="193" customFormat="false" ht="12.8" hidden="false" customHeight="false" outlineLevel="0" collapsed="false">
      <c r="A193" s="0" t="s">
        <v>267</v>
      </c>
      <c r="B193" s="0" t="s">
        <v>268</v>
      </c>
      <c r="C193" s="5"/>
      <c r="D193" s="5"/>
      <c r="E193" s="5"/>
    </row>
    <row r="194" customFormat="false" ht="12.8" hidden="false" customHeight="false" outlineLevel="0" collapsed="false">
      <c r="A194" s="0" t="s">
        <v>269</v>
      </c>
      <c r="B194" s="0" t="s">
        <v>270</v>
      </c>
      <c r="C194" s="5"/>
      <c r="D194" s="5"/>
      <c r="E194" s="5"/>
    </row>
    <row r="195" customFormat="false" ht="12.8" hidden="false" customHeight="false" outlineLevel="0" collapsed="false">
      <c r="A195" s="0" t="s">
        <v>271</v>
      </c>
      <c r="B195" s="0" t="s">
        <v>272</v>
      </c>
      <c r="C195" s="5"/>
      <c r="D195" s="5"/>
      <c r="E195" s="5"/>
    </row>
    <row r="196" customFormat="false" ht="12.8" hidden="false" customHeight="false" outlineLevel="0" collapsed="false">
      <c r="A196" s="0" t="s">
        <v>273</v>
      </c>
      <c r="B196" s="0" t="s">
        <v>274</v>
      </c>
      <c r="C196" s="5"/>
      <c r="D196" s="5"/>
      <c r="E196" s="5"/>
    </row>
    <row r="197" customFormat="false" ht="12.8" hidden="false" customHeight="false" outlineLevel="0" collapsed="false">
      <c r="A197" s="0" t="s">
        <v>275</v>
      </c>
      <c r="B197" s="0" t="s">
        <v>276</v>
      </c>
      <c r="C197" s="5"/>
      <c r="D197" s="5"/>
      <c r="E197" s="5"/>
    </row>
    <row r="198" customFormat="false" ht="12.8" hidden="false" customHeight="false" outlineLevel="0" collapsed="false">
      <c r="A198" s="0" t="s">
        <v>277</v>
      </c>
      <c r="B198" s="0" t="s">
        <v>278</v>
      </c>
      <c r="C198" s="5"/>
      <c r="D198" s="5"/>
      <c r="E198" s="5"/>
    </row>
    <row r="199" customFormat="false" ht="12.8" hidden="false" customHeight="false" outlineLevel="0" collapsed="false">
      <c r="A199" s="0" t="s">
        <v>279</v>
      </c>
      <c r="B199" s="0" t="s">
        <v>280</v>
      </c>
      <c r="C199" s="5"/>
      <c r="D199" s="5"/>
      <c r="E199" s="5"/>
    </row>
    <row r="200" customFormat="false" ht="12.8" hidden="false" customHeight="false" outlineLevel="0" collapsed="false">
      <c r="A200" s="0" t="s">
        <v>279</v>
      </c>
      <c r="B200" s="0" t="s">
        <v>281</v>
      </c>
      <c r="C200" s="5"/>
      <c r="D200" s="5"/>
      <c r="E200" s="5"/>
    </row>
    <row r="201" customFormat="false" ht="12.8" hidden="false" customHeight="false" outlineLevel="0" collapsed="false">
      <c r="A201" s="0" t="s">
        <v>279</v>
      </c>
      <c r="B201" s="0" t="s">
        <v>282</v>
      </c>
      <c r="C201" s="5"/>
      <c r="D201" s="5"/>
      <c r="E201" s="5"/>
    </row>
    <row r="202" customFormat="false" ht="12.8" hidden="false" customHeight="false" outlineLevel="0" collapsed="false">
      <c r="A202" s="0" t="s">
        <v>279</v>
      </c>
      <c r="B202" s="0" t="s">
        <v>283</v>
      </c>
      <c r="C202" s="5"/>
      <c r="D202" s="5"/>
      <c r="E202" s="5"/>
    </row>
    <row r="203" customFormat="false" ht="12.8" hidden="false" customHeight="false" outlineLevel="0" collapsed="false">
      <c r="A203" s="0" t="s">
        <v>284</v>
      </c>
      <c r="B203" s="0" t="s">
        <v>285</v>
      </c>
      <c r="C203" s="5"/>
      <c r="D203" s="5"/>
      <c r="E203" s="5"/>
    </row>
    <row r="204" customFormat="false" ht="12.8" hidden="false" customHeight="false" outlineLevel="0" collapsed="false">
      <c r="A204" s="0" t="s">
        <v>286</v>
      </c>
      <c r="B204" s="0" t="s">
        <v>287</v>
      </c>
      <c r="C204" s="5"/>
      <c r="D204" s="5"/>
      <c r="E204" s="5"/>
    </row>
    <row r="205" customFormat="false" ht="12.8" hidden="false" customHeight="false" outlineLevel="0" collapsed="false">
      <c r="A205" s="0" t="s">
        <v>288</v>
      </c>
      <c r="B205" s="0" t="s">
        <v>289</v>
      </c>
      <c r="C205" s="5"/>
      <c r="D205" s="5"/>
      <c r="E205" s="5"/>
    </row>
    <row r="206" customFormat="false" ht="12.8" hidden="false" customHeight="false" outlineLevel="0" collapsed="false">
      <c r="A206" s="0" t="s">
        <v>290</v>
      </c>
      <c r="B206" s="0" t="s">
        <v>291</v>
      </c>
      <c r="C206" s="5"/>
      <c r="D206" s="5"/>
      <c r="E206" s="5"/>
    </row>
    <row r="207" customFormat="false" ht="12.8" hidden="false" customHeight="false" outlineLevel="0" collapsed="false">
      <c r="A207" s="0" t="s">
        <v>292</v>
      </c>
      <c r="B207" s="0" t="s">
        <v>293</v>
      </c>
      <c r="C207" s="5"/>
      <c r="D207" s="5"/>
      <c r="E207" s="5"/>
    </row>
    <row r="208" customFormat="false" ht="12.8" hidden="false" customHeight="false" outlineLevel="0" collapsed="false">
      <c r="A208" s="0" t="s">
        <v>294</v>
      </c>
      <c r="B208" s="0" t="s">
        <v>295</v>
      </c>
      <c r="C208" s="5"/>
      <c r="D208" s="5"/>
      <c r="E208" s="5"/>
    </row>
    <row r="209" customFormat="false" ht="12.8" hidden="false" customHeight="false" outlineLevel="0" collapsed="false">
      <c r="A209" s="0" t="s">
        <v>296</v>
      </c>
      <c r="B209" s="0" t="s">
        <v>297</v>
      </c>
      <c r="C209" s="5"/>
      <c r="D209" s="5"/>
      <c r="E209" s="5"/>
    </row>
    <row r="210" customFormat="false" ht="12.8" hidden="false" customHeight="false" outlineLevel="0" collapsed="false">
      <c r="A210" s="0" t="s">
        <v>298</v>
      </c>
      <c r="B210" s="0" t="s">
        <v>299</v>
      </c>
      <c r="C210" s="5"/>
      <c r="D210" s="5"/>
      <c r="E210" s="5"/>
    </row>
    <row r="211" customFormat="false" ht="12.8" hidden="false" customHeight="false" outlineLevel="0" collapsed="false">
      <c r="A211" s="0" t="s">
        <v>255</v>
      </c>
      <c r="B211" s="0" t="s">
        <v>300</v>
      </c>
      <c r="C211" s="5"/>
      <c r="D211" s="5"/>
      <c r="E211" s="5"/>
    </row>
    <row r="212" customFormat="false" ht="12.8" hidden="false" customHeight="false" outlineLevel="0" collapsed="false">
      <c r="A212" s="0" t="s">
        <v>257</v>
      </c>
      <c r="B212" s="0" t="s">
        <v>301</v>
      </c>
      <c r="C212" s="5"/>
      <c r="D212" s="5"/>
      <c r="E212" s="5"/>
    </row>
    <row r="213" customFormat="false" ht="12.8" hidden="false" customHeight="false" outlineLevel="0" collapsed="false">
      <c r="A213" s="0" t="s">
        <v>259</v>
      </c>
      <c r="B213" s="0" t="s">
        <v>302</v>
      </c>
      <c r="C213" s="5"/>
      <c r="D213" s="5"/>
      <c r="E213" s="5"/>
    </row>
    <row r="214" customFormat="false" ht="12.8" hidden="false" customHeight="false" outlineLevel="0" collapsed="false">
      <c r="A214" s="0" t="s">
        <v>261</v>
      </c>
      <c r="B214" s="0" t="s">
        <v>303</v>
      </c>
      <c r="C214" s="5"/>
      <c r="D214" s="5"/>
      <c r="E214" s="5"/>
    </row>
    <row r="215" customFormat="false" ht="12.8" hidden="false" customHeight="false" outlineLevel="0" collapsed="false">
      <c r="A215" s="0" t="s">
        <v>263</v>
      </c>
      <c r="B215" s="0" t="s">
        <v>304</v>
      </c>
      <c r="C215" s="5"/>
      <c r="D215" s="5"/>
      <c r="E215" s="5"/>
    </row>
    <row r="216" customFormat="false" ht="12.8" hidden="false" customHeight="false" outlineLevel="0" collapsed="false">
      <c r="A216" s="0" t="s">
        <v>265</v>
      </c>
      <c r="B216" s="0" t="s">
        <v>305</v>
      </c>
      <c r="C216" s="5"/>
      <c r="D216" s="5"/>
      <c r="E216" s="5"/>
    </row>
    <row r="217" customFormat="false" ht="12.8" hidden="false" customHeight="false" outlineLevel="0" collapsed="false">
      <c r="A217" s="0" t="s">
        <v>267</v>
      </c>
      <c r="B217" s="0" t="s">
        <v>306</v>
      </c>
      <c r="C217" s="5"/>
      <c r="D217" s="5"/>
      <c r="E217" s="5"/>
    </row>
    <row r="218" customFormat="false" ht="12.8" hidden="false" customHeight="false" outlineLevel="0" collapsed="false">
      <c r="A218" s="0" t="s">
        <v>269</v>
      </c>
      <c r="B218" s="0" t="s">
        <v>307</v>
      </c>
      <c r="C218" s="5"/>
      <c r="D218" s="5"/>
      <c r="E218" s="5"/>
    </row>
    <row r="219" customFormat="false" ht="12.8" hidden="false" customHeight="false" outlineLevel="0" collapsed="false">
      <c r="A219" s="0" t="s">
        <v>271</v>
      </c>
      <c r="B219" s="0" t="s">
        <v>308</v>
      </c>
      <c r="C219" s="5"/>
      <c r="D219" s="5"/>
      <c r="E219" s="5"/>
    </row>
    <row r="220" customFormat="false" ht="12.8" hidden="false" customHeight="false" outlineLevel="0" collapsed="false">
      <c r="A220" s="0" t="s">
        <v>273</v>
      </c>
      <c r="B220" s="0" t="s">
        <v>309</v>
      </c>
      <c r="C220" s="5"/>
      <c r="D220" s="5"/>
      <c r="E220" s="5"/>
    </row>
    <row r="221" customFormat="false" ht="12.8" hidden="false" customHeight="false" outlineLevel="0" collapsed="false">
      <c r="A221" s="0" t="s">
        <v>275</v>
      </c>
      <c r="B221" s="0" t="s">
        <v>310</v>
      </c>
      <c r="C221" s="5"/>
      <c r="D221" s="5"/>
      <c r="E221" s="5"/>
    </row>
    <row r="222" customFormat="false" ht="12.8" hidden="false" customHeight="false" outlineLevel="0" collapsed="false">
      <c r="A222" s="0" t="s">
        <v>277</v>
      </c>
      <c r="B222" s="0" t="s">
        <v>311</v>
      </c>
      <c r="C222" s="5"/>
      <c r="D222" s="5"/>
      <c r="E222" s="5"/>
    </row>
    <row r="223" customFormat="false" ht="12.8" hidden="false" customHeight="false" outlineLevel="0" collapsed="false">
      <c r="A223" s="0" t="s">
        <v>284</v>
      </c>
      <c r="B223" s="0" t="s">
        <v>312</v>
      </c>
      <c r="C223" s="5"/>
      <c r="D223" s="5"/>
      <c r="E223" s="5"/>
    </row>
    <row r="224" customFormat="false" ht="12.8" hidden="false" customHeight="false" outlineLevel="0" collapsed="false">
      <c r="A224" s="0" t="s">
        <v>286</v>
      </c>
      <c r="B224" s="0" t="s">
        <v>313</v>
      </c>
      <c r="C224" s="5"/>
      <c r="D224" s="5"/>
      <c r="E224" s="5"/>
    </row>
    <row r="225" customFormat="false" ht="12.8" hidden="false" customHeight="false" outlineLevel="0" collapsed="false">
      <c r="A225" s="0" t="s">
        <v>288</v>
      </c>
      <c r="B225" s="0" t="s">
        <v>314</v>
      </c>
      <c r="C225" s="5"/>
      <c r="D225" s="5"/>
      <c r="E225" s="5"/>
    </row>
    <row r="226" customFormat="false" ht="12.8" hidden="false" customHeight="false" outlineLevel="0" collapsed="false">
      <c r="A226" s="0" t="s">
        <v>290</v>
      </c>
      <c r="B226" s="0" t="s">
        <v>315</v>
      </c>
      <c r="C226" s="5"/>
      <c r="D226" s="5"/>
      <c r="E226" s="5"/>
    </row>
    <row r="227" customFormat="false" ht="12.8" hidden="false" customHeight="false" outlineLevel="0" collapsed="false">
      <c r="A227" s="0" t="s">
        <v>292</v>
      </c>
      <c r="B227" s="0" t="s">
        <v>316</v>
      </c>
      <c r="C227" s="5"/>
      <c r="D227" s="5"/>
      <c r="E227" s="5"/>
    </row>
    <row r="228" customFormat="false" ht="12.8" hidden="false" customHeight="false" outlineLevel="0" collapsed="false">
      <c r="A228" s="0" t="s">
        <v>294</v>
      </c>
      <c r="B228" s="0" t="s">
        <v>317</v>
      </c>
      <c r="C228" s="5"/>
      <c r="D228" s="5"/>
      <c r="E228" s="5"/>
    </row>
    <row r="229" customFormat="false" ht="12.8" hidden="false" customHeight="false" outlineLevel="0" collapsed="false">
      <c r="A229" s="0" t="s">
        <v>296</v>
      </c>
      <c r="B229" s="0" t="s">
        <v>318</v>
      </c>
      <c r="C229" s="5"/>
      <c r="D229" s="5"/>
      <c r="E229" s="5"/>
    </row>
    <row r="230" customFormat="false" ht="12.8" hidden="false" customHeight="false" outlineLevel="0" collapsed="false">
      <c r="A230" s="0" t="s">
        <v>298</v>
      </c>
      <c r="B230" s="0" t="s">
        <v>319</v>
      </c>
      <c r="C230" s="5"/>
      <c r="D230" s="5"/>
      <c r="E230" s="5"/>
    </row>
    <row r="231" customFormat="false" ht="12.8" hidden="false" customHeight="false" outlineLevel="0" collapsed="false">
      <c r="A231" s="0" t="s">
        <v>320</v>
      </c>
      <c r="B231" s="0" t="s">
        <v>321</v>
      </c>
      <c r="C231" s="5"/>
      <c r="D231" s="5"/>
      <c r="E231" s="5"/>
    </row>
    <row r="232" customFormat="false" ht="12.8" hidden="false" customHeight="false" outlineLevel="0" collapsed="false">
      <c r="A232" s="0" t="s">
        <v>322</v>
      </c>
      <c r="B232" s="0" t="s">
        <v>323</v>
      </c>
      <c r="C232" s="5"/>
      <c r="D232" s="5"/>
      <c r="E232" s="5"/>
    </row>
    <row r="233" customFormat="false" ht="12.8" hidden="false" customHeight="false" outlineLevel="0" collapsed="false">
      <c r="A233" s="0" t="s">
        <v>324</v>
      </c>
      <c r="B233" s="0" t="s">
        <v>325</v>
      </c>
      <c r="C233" s="5"/>
      <c r="D233" s="5"/>
      <c r="E233" s="5"/>
    </row>
    <row r="234" customFormat="false" ht="12.8" hidden="false" customHeight="false" outlineLevel="0" collapsed="false">
      <c r="A234" s="0" t="s">
        <v>326</v>
      </c>
      <c r="B234" s="0" t="s">
        <v>327</v>
      </c>
      <c r="C234" s="5"/>
      <c r="D234" s="5"/>
      <c r="E234" s="5"/>
    </row>
    <row r="235" customFormat="false" ht="12.8" hidden="false" customHeight="false" outlineLevel="0" collapsed="false">
      <c r="A235" s="0" t="s">
        <v>328</v>
      </c>
      <c r="B235" s="0" t="s">
        <v>329</v>
      </c>
      <c r="C235" s="5"/>
      <c r="D235" s="5"/>
      <c r="E235" s="5"/>
    </row>
    <row r="236" customFormat="false" ht="12.8" hidden="false" customHeight="false" outlineLevel="0" collapsed="false">
      <c r="A236" s="0" t="s">
        <v>330</v>
      </c>
      <c r="C236" s="6" t="n">
        <f aca="false">IF(C131&lt;C138,C138-C131,0)</f>
        <v>0</v>
      </c>
      <c r="D236" s="6" t="n">
        <f aca="false">IF(D131&lt;D138,D138-D131,0)</f>
        <v>0</v>
      </c>
      <c r="E236" s="6" t="n">
        <f aca="false">IF(E131&lt;E138,E138-E131,0)</f>
        <v>0</v>
      </c>
    </row>
  </sheetData>
  <sheetProtection sheet="true" objects="true" scenario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RowHeight="11.25" zeroHeight="false" outlineLevelRow="0" outlineLevelCol="0"/>
  <cols>
    <col collapsed="false" customWidth="true" hidden="false" outlineLevel="0" max="1" min="1" style="7" width="59.48"/>
    <col collapsed="false" customWidth="true" hidden="false" outlineLevel="0" max="7" min="2" style="7" width="12.69"/>
    <col collapsed="false" customWidth="true" hidden="false" outlineLevel="0" max="257" min="8" style="7" width="9.13"/>
    <col collapsed="false" customWidth="true" hidden="false" outlineLevel="0" max="1025" min="258" style="0" width="9.13"/>
  </cols>
  <sheetData>
    <row r="1" customFormat="false" ht="12.75" hidden="false" customHeight="true" outlineLevel="0" collapsed="false">
      <c r="A1" s="8" t="s">
        <v>331</v>
      </c>
      <c r="B1" s="8"/>
      <c r="C1" s="8"/>
      <c r="D1" s="8"/>
      <c r="E1" s="8"/>
      <c r="F1" s="8"/>
      <c r="G1" s="8"/>
    </row>
    <row r="2" customFormat="false" ht="12.75" hidden="false" customHeight="true" outlineLevel="0" collapsed="false">
      <c r="A2" s="9" t="s">
        <v>332</v>
      </c>
      <c r="B2" s="9"/>
      <c r="C2" s="9"/>
      <c r="D2" s="9"/>
      <c r="E2" s="9"/>
      <c r="F2" s="9"/>
      <c r="G2" s="9"/>
    </row>
    <row r="3" customFormat="false" ht="12.75" hidden="false" customHeight="true" outlineLevel="0" collapsed="false">
      <c r="A3" s="10" t="s">
        <v>333</v>
      </c>
      <c r="B3" s="10"/>
      <c r="C3" s="10"/>
      <c r="D3" s="10"/>
      <c r="E3" s="10"/>
      <c r="F3" s="10"/>
      <c r="G3" s="10"/>
    </row>
    <row r="4" customFormat="false" ht="12.75" hidden="false" customHeight="true" outlineLevel="0" collapsed="false">
      <c r="A4" s="9" t="s">
        <v>334</v>
      </c>
      <c r="B4" s="9"/>
      <c r="C4" s="9"/>
      <c r="D4" s="9"/>
      <c r="E4" s="9"/>
      <c r="F4" s="9"/>
      <c r="G4" s="9"/>
    </row>
    <row r="5" customFormat="false" ht="12.75" hidden="false" customHeight="true" outlineLevel="0" collapsed="false">
      <c r="A5" s="11" t="str">
        <f aca="false">CONCATENATE(MONTH('DCL TCERS'!E1)/2,"º Bimestre de ",YEAR('DCL TCERS'!E1))</f>
        <v>3º Bimestre de 2017</v>
      </c>
      <c r="B5" s="11"/>
      <c r="C5" s="11"/>
      <c r="D5" s="11"/>
      <c r="E5" s="11"/>
      <c r="F5" s="11"/>
      <c r="G5" s="11"/>
    </row>
    <row r="6" customFormat="false" ht="12.75" hidden="false" customHeight="true" outlineLevel="0" collapsed="false">
      <c r="A6" s="12"/>
      <c r="B6" s="12"/>
      <c r="C6" s="12"/>
      <c r="D6" s="12"/>
      <c r="E6" s="12"/>
      <c r="F6" s="12"/>
      <c r="G6" s="12"/>
    </row>
    <row r="7" customFormat="false" ht="12.75" hidden="false" customHeight="true" outlineLevel="0" collapsed="false">
      <c r="A7" s="7" t="s">
        <v>335</v>
      </c>
      <c r="D7" s="13"/>
      <c r="E7" s="14"/>
      <c r="G7" s="15" t="s">
        <v>336</v>
      </c>
    </row>
    <row r="8" customFormat="false" ht="12.75" hidden="false" customHeight="true" outlineLevel="0" collapsed="false">
      <c r="A8" s="16"/>
      <c r="B8" s="17"/>
      <c r="C8" s="18"/>
      <c r="D8" s="18" t="s">
        <v>337</v>
      </c>
      <c r="E8" s="18"/>
      <c r="F8" s="18"/>
      <c r="G8" s="18"/>
    </row>
    <row r="9" customFormat="false" ht="12.75" hidden="false" customHeight="true" outlineLevel="0" collapsed="false">
      <c r="A9" s="19" t="s">
        <v>338</v>
      </c>
      <c r="B9" s="20" t="str">
        <f aca="false">CONCATENATE("Em ",DAY('DCL TCERS'!C1),"/",MONTH('DCL TCERS'!C1),"/",YEAR('DCL TCERS'!C1))</f>
        <v>Em 31/12/2016</v>
      </c>
      <c r="C9" s="20"/>
      <c r="D9" s="21" t="str">
        <f aca="false">CONCATENATE("Em ",DAY('DCL TCERS'!D1),"/",MONTH('DCL TCERS'!D1),"/",YEAR('DCL TCERS'!D1))</f>
        <v>Em 30/4/2017</v>
      </c>
      <c r="E9" s="21"/>
      <c r="F9" s="21" t="str">
        <f aca="false">CONCATENATE("Em ",DAY('DCL TCERS'!E1),"/",MONTH('DCL TCERS'!E1),"/",YEAR('DCL TCERS'!E1))</f>
        <v>Em 30/6/2017</v>
      </c>
      <c r="G9" s="21"/>
    </row>
    <row r="10" customFormat="false" ht="12.75" hidden="false" customHeight="true" outlineLevel="0" collapsed="false">
      <c r="A10" s="22"/>
      <c r="B10" s="23" t="s">
        <v>339</v>
      </c>
      <c r="C10" s="23"/>
      <c r="D10" s="24" t="s">
        <v>340</v>
      </c>
      <c r="E10" s="24"/>
      <c r="F10" s="25" t="s">
        <v>341</v>
      </c>
      <c r="G10" s="25"/>
    </row>
    <row r="11" customFormat="false" ht="12.75" hidden="false" customHeight="true" outlineLevel="0" collapsed="false">
      <c r="A11" s="26" t="s">
        <v>342</v>
      </c>
      <c r="B11" s="27" t="n">
        <f aca="false">'DCL TCERS'!C2</f>
        <v>0</v>
      </c>
      <c r="C11" s="27"/>
      <c r="D11" s="27" t="n">
        <f aca="false">'DCL TCERS'!D2</f>
        <v>0</v>
      </c>
      <c r="E11" s="27"/>
      <c r="F11" s="27" t="n">
        <f aca="false">'DCL TCERS'!E2</f>
        <v>0</v>
      </c>
      <c r="G11" s="27"/>
    </row>
    <row r="12" customFormat="false" ht="12.75" hidden="false" customHeight="true" outlineLevel="0" collapsed="false">
      <c r="A12" s="26" t="s">
        <v>343</v>
      </c>
      <c r="B12" s="27" t="n">
        <f aca="false">'DCL TCERS'!C129</f>
        <v>0</v>
      </c>
      <c r="C12" s="27"/>
      <c r="D12" s="27" t="n">
        <f aca="false">'DCL TCERS'!D129</f>
        <v>0</v>
      </c>
      <c r="E12" s="27"/>
      <c r="F12" s="27" t="n">
        <f aca="false">'DCL TCERS'!E129</f>
        <v>0</v>
      </c>
      <c r="G12" s="27"/>
    </row>
    <row r="13" customFormat="false" ht="12.75" hidden="false" customHeight="true" outlineLevel="0" collapsed="false">
      <c r="A13" s="28" t="s">
        <v>344</v>
      </c>
      <c r="B13" s="27" t="n">
        <f aca="false">IF(B14&lt;B15,0,B14-B15)</f>
        <v>0</v>
      </c>
      <c r="C13" s="27"/>
      <c r="D13" s="27" t="n">
        <f aca="false">IF(D14&lt;D15,0,D14-D15)</f>
        <v>0</v>
      </c>
      <c r="E13" s="27"/>
      <c r="F13" s="27" t="n">
        <f aca="false">IF(F14&lt;F15,0,F14-F15)</f>
        <v>0</v>
      </c>
      <c r="G13" s="27"/>
    </row>
    <row r="14" customFormat="false" ht="12.75" hidden="false" customHeight="true" outlineLevel="0" collapsed="false">
      <c r="A14" s="28" t="s">
        <v>345</v>
      </c>
      <c r="B14" s="27" t="n">
        <f aca="false">'DCL TCERS'!C131</f>
        <v>0</v>
      </c>
      <c r="C14" s="27"/>
      <c r="D14" s="27" t="n">
        <f aca="false">'DCL TCERS'!D131</f>
        <v>0</v>
      </c>
      <c r="E14" s="27"/>
      <c r="F14" s="27" t="n">
        <f aca="false">'DCL TCERS'!E131</f>
        <v>0</v>
      </c>
      <c r="G14" s="27"/>
    </row>
    <row r="15" customFormat="false" ht="12.75" hidden="false" customHeight="true" outlineLevel="0" collapsed="false">
      <c r="A15" s="28" t="s">
        <v>346</v>
      </c>
      <c r="B15" s="27" t="n">
        <f aca="false">'DCL TCERS'!C138</f>
        <v>0</v>
      </c>
      <c r="C15" s="27"/>
      <c r="D15" s="27" t="n">
        <f aca="false">'DCL TCERS'!D138</f>
        <v>0</v>
      </c>
      <c r="E15" s="27"/>
      <c r="F15" s="27" t="n">
        <f aca="false">'DCL TCERS'!E138</f>
        <v>0</v>
      </c>
      <c r="G15" s="27"/>
    </row>
    <row r="16" customFormat="false" ht="12.75" hidden="false" customHeight="true" outlineLevel="0" collapsed="false">
      <c r="A16" s="28" t="s">
        <v>347</v>
      </c>
      <c r="B16" s="27" t="n">
        <f aca="false">'DCL TCERS'!C141</f>
        <v>0</v>
      </c>
      <c r="C16" s="27"/>
      <c r="D16" s="27" t="n">
        <f aca="false">'DCL TCERS'!D141</f>
        <v>0</v>
      </c>
      <c r="E16" s="27"/>
      <c r="F16" s="27" t="n">
        <f aca="false">'DCL TCERS'!E141</f>
        <v>0</v>
      </c>
      <c r="G16" s="27"/>
    </row>
    <row r="17" customFormat="false" ht="12.75" hidden="false" customHeight="true" outlineLevel="0" collapsed="false">
      <c r="A17" s="26" t="s">
        <v>348</v>
      </c>
      <c r="B17" s="27" t="n">
        <f aca="false">IF(B12&gt;B11,0,B11-B12)</f>
        <v>0</v>
      </c>
      <c r="C17" s="27"/>
      <c r="D17" s="27" t="n">
        <f aca="false">IF(D12&gt;D11,0,D11-D12)</f>
        <v>0</v>
      </c>
      <c r="E17" s="27"/>
      <c r="F17" s="27" t="n">
        <f aca="false">IF(F12&gt;F11,0,F11-F12)</f>
        <v>0</v>
      </c>
      <c r="G17" s="27"/>
    </row>
    <row r="18" customFormat="false" ht="12.75" hidden="false" customHeight="true" outlineLevel="0" collapsed="false">
      <c r="A18" s="26" t="s">
        <v>349</v>
      </c>
      <c r="B18" s="29"/>
      <c r="C18" s="29"/>
      <c r="D18" s="29"/>
      <c r="E18" s="29"/>
      <c r="F18" s="29"/>
      <c r="G18" s="29"/>
    </row>
    <row r="19" customFormat="false" ht="12.75" hidden="false" customHeight="true" outlineLevel="0" collapsed="false">
      <c r="A19" s="26" t="s">
        <v>350</v>
      </c>
      <c r="B19" s="29"/>
      <c r="C19" s="29"/>
      <c r="D19" s="29"/>
      <c r="E19" s="29"/>
      <c r="F19" s="29"/>
      <c r="G19" s="29"/>
    </row>
    <row r="20" customFormat="false" ht="12.75" hidden="false" customHeight="true" outlineLevel="0" collapsed="false">
      <c r="A20" s="30" t="s">
        <v>351</v>
      </c>
      <c r="B20" s="31" t="n">
        <f aca="false">B17+B18-B19</f>
        <v>0</v>
      </c>
      <c r="C20" s="31"/>
      <c r="D20" s="31" t="n">
        <f aca="false">D17+D18-D19</f>
        <v>0</v>
      </c>
      <c r="E20" s="31"/>
      <c r="F20" s="31" t="n">
        <f aca="false">F17+F18-F19</f>
        <v>0</v>
      </c>
      <c r="G20" s="31"/>
    </row>
    <row r="21" customFormat="false" ht="12.75" hidden="false" customHeight="true" outlineLevel="0" collapsed="false">
      <c r="A21" s="32"/>
      <c r="B21" s="32"/>
      <c r="C21" s="32"/>
      <c r="D21" s="32"/>
      <c r="E21" s="32"/>
      <c r="F21" s="32"/>
      <c r="G21" s="32"/>
    </row>
    <row r="22" customFormat="false" ht="12.75" hidden="false" customHeight="true" outlineLevel="0" collapsed="false">
      <c r="A22" s="16"/>
      <c r="B22" s="33"/>
      <c r="C22" s="34"/>
      <c r="D22" s="34" t="s">
        <v>352</v>
      </c>
      <c r="E22" s="34"/>
      <c r="F22" s="34"/>
      <c r="G22" s="34"/>
    </row>
    <row r="23" customFormat="false" ht="12.75" hidden="false" customHeight="true" outlineLevel="0" collapsed="false">
      <c r="A23" s="19" t="s">
        <v>353</v>
      </c>
      <c r="B23" s="35"/>
      <c r="C23" s="36" t="s">
        <v>354</v>
      </c>
      <c r="D23" s="37"/>
      <c r="E23" s="35"/>
      <c r="F23" s="36" t="s">
        <v>355</v>
      </c>
      <c r="G23" s="36"/>
    </row>
    <row r="24" customFormat="false" ht="12.75" hidden="false" customHeight="true" outlineLevel="0" collapsed="false">
      <c r="A24" s="22"/>
      <c r="B24" s="38"/>
      <c r="C24" s="39" t="s">
        <v>356</v>
      </c>
      <c r="D24" s="40"/>
      <c r="E24" s="38"/>
      <c r="F24" s="39" t="s">
        <v>357</v>
      </c>
      <c r="G24" s="39"/>
    </row>
    <row r="25" customFormat="false" ht="12.75" hidden="false" customHeight="true" outlineLevel="0" collapsed="false">
      <c r="A25" s="41" t="s">
        <v>358</v>
      </c>
      <c r="B25" s="31" t="n">
        <f aca="false">F20-D20</f>
        <v>0</v>
      </c>
      <c r="C25" s="31"/>
      <c r="D25" s="31"/>
      <c r="E25" s="31" t="n">
        <f aca="false">F20-B20</f>
        <v>0</v>
      </c>
      <c r="F25" s="31"/>
      <c r="G25" s="31"/>
    </row>
    <row r="26" customFormat="false" ht="12.75" hidden="false" customHeight="true" outlineLevel="0" collapsed="false">
      <c r="A26" s="32"/>
      <c r="B26" s="42"/>
      <c r="C26" s="42"/>
      <c r="D26" s="43"/>
      <c r="E26" s="43"/>
      <c r="F26" s="42"/>
      <c r="G26" s="42"/>
    </row>
    <row r="27" customFormat="false" ht="12.75" hidden="false" customHeight="true" outlineLevel="0" collapsed="false">
      <c r="A27" s="44" t="s">
        <v>359</v>
      </c>
      <c r="B27" s="44"/>
      <c r="C27" s="44"/>
      <c r="D27" s="44"/>
      <c r="E27" s="45" t="s">
        <v>360</v>
      </c>
      <c r="F27" s="45"/>
      <c r="G27" s="45"/>
    </row>
    <row r="28" customFormat="false" ht="12.75" hidden="false" customHeight="true" outlineLevel="0" collapsed="false">
      <c r="A28" s="44"/>
      <c r="B28" s="44"/>
      <c r="C28" s="44"/>
      <c r="D28" s="44"/>
      <c r="E28" s="45"/>
      <c r="F28" s="45"/>
      <c r="G28" s="45"/>
    </row>
    <row r="29" customFormat="false" ht="12.75" hidden="false" customHeight="true" outlineLevel="0" collapsed="false">
      <c r="A29" s="46" t="s">
        <v>361</v>
      </c>
      <c r="B29" s="46"/>
      <c r="C29" s="46"/>
      <c r="D29" s="46"/>
      <c r="E29" s="47" t="n">
        <v>0</v>
      </c>
      <c r="F29" s="47"/>
      <c r="G29" s="47"/>
    </row>
    <row r="30" customFormat="false" ht="12.75" hidden="false" customHeight="true" outlineLevel="0" collapsed="false">
      <c r="A30" s="48"/>
      <c r="B30" s="48"/>
      <c r="C30" s="48"/>
      <c r="D30" s="48"/>
      <c r="E30" s="48"/>
      <c r="F30" s="48"/>
      <c r="G30" s="48"/>
      <c r="H30" s="49"/>
      <c r="I30" s="49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sheetProtection sheet="true" objects="true" scenarios="true"/>
  <mergeCells count="50">
    <mergeCell ref="A1:G1"/>
    <mergeCell ref="A2:G2"/>
    <mergeCell ref="A3:G3"/>
    <mergeCell ref="A4:G4"/>
    <mergeCell ref="A5:G5"/>
    <mergeCell ref="D8:E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D22:E22"/>
    <mergeCell ref="B25:D25"/>
    <mergeCell ref="E25:G25"/>
    <mergeCell ref="A27:D28"/>
    <mergeCell ref="E27:G28"/>
    <mergeCell ref="A29:D29"/>
    <mergeCell ref="E29:G29"/>
    <mergeCell ref="A30:G3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LibreOffice/5.3.4.2$Linux_X86_64 LibreOffice_project/f82d347ccc0be322489bf7da61d7e4ad13fe2ff3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2017-07-12T13:24:55Z</dcterms:created>
  <dc:creator>Everton da Rosa</dc:creator>
  <dc:description/>
  <dc:language>pt-BR</dc:language>
  <cp:lastModifiedBy>Everton da Rosa</cp:lastModifiedBy>
  <dcterms:modified xsi:type="dcterms:W3CDTF">2017-07-12T13:41:55Z</dcterms:modified>
  <cp:revision>2</cp:revision>
  <dc:subject/>
  <dc:title/>
</cp:coreProperties>
</file>