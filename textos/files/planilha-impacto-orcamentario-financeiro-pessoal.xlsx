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<sst xmlns="http://schemas.openxmlformats.org/spreadsheetml/2006/main" count="65" uniqueCount="64">
  <si>
    <t xml:space="preserve">ESTUDO DO IMPACTO ORÇAMENTÁRIO-FINANCEIRO</t>
  </si>
  <si>
    <t xml:space="preserve">nº</t>
  </si>
  <si>
    <t xml:space="preserve">17/2017</t>
  </si>
  <si>
    <t xml:space="preserve">Lei Complementar nº 101, art. 16</t>
  </si>
  <si>
    <t xml:space="preserve">AUMENTO DE DESPESA COM PESSOAL</t>
  </si>
  <si>
    <t xml:space="preserve">PARÂMETROS E VARIÁVEIS DO CÁLCULO</t>
  </si>
  <si>
    <t xml:space="preserve">Cargo</t>
  </si>
  <si>
    <t xml:space="preserve">Quantidade</t>
  </si>
  <si>
    <t xml:space="preserve">Aumento da Remuneração (mensal)</t>
  </si>
  <si>
    <t xml:space="preserve">Auxiliar de Higiene e Limpeza</t>
  </si>
  <si>
    <t xml:space="preserve">Alíquota INSS</t>
  </si>
  <si>
    <t xml:space="preserve">Alíquota RPPS</t>
  </si>
  <si>
    <t xml:space="preserve">Alíquota Suplementar RPPS</t>
  </si>
  <si>
    <t xml:space="preserve">IRRF Mensal</t>
  </si>
  <si>
    <t xml:space="preserve">Mês de início</t>
  </si>
  <si>
    <t xml:space="preserve">Mês de término</t>
  </si>
  <si>
    <t xml:space="preserve">Aumento salarial</t>
  </si>
  <si>
    <t xml:space="preserve">COMPENSAÇÕES</t>
  </si>
  <si>
    <t xml:space="preserve">Descrição</t>
  </si>
  <si>
    <t xml:space="preserve">Total</t>
  </si>
  <si>
    <t xml:space="preserve">IMPACTO ORÇAMENTÁRIO</t>
  </si>
  <si>
    <t xml:space="preserve">(+) Remuneração total</t>
  </si>
  <si>
    <t xml:space="preserve">(+) 1/3 de férias</t>
  </si>
  <si>
    <t xml:space="preserve">(+) 13º salário</t>
  </si>
  <si>
    <t xml:space="preserve">(+) Encargo INSS</t>
  </si>
  <si>
    <t xml:space="preserve">(+) Encargo RPPS</t>
  </si>
  <si>
    <t xml:space="preserve">(+) RPPS Suplementar</t>
  </si>
  <si>
    <t xml:space="preserve">(-) Valor total compensado</t>
  </si>
  <si>
    <t xml:space="preserve">(=) Impacto Orçamentário Total</t>
  </si>
  <si>
    <t xml:space="preserve">IMPACTO FINANCEIRO</t>
  </si>
  <si>
    <t xml:space="preserve">Impacto Orçamentário Total</t>
  </si>
  <si>
    <t xml:space="preserve">(-) IRRF Total</t>
  </si>
  <si>
    <t xml:space="preserve">(=) Impacto financeiro</t>
  </si>
  <si>
    <t xml:space="preserve">IMPACTO NA DESPESA TOTAL COM PESSOAL (LRF)</t>
  </si>
  <si>
    <t xml:space="preserve">Última RCL disponível</t>
  </si>
  <si>
    <t xml:space="preserve">Última DTP disponível</t>
  </si>
  <si>
    <t xml:space="preserve">Último índice disponível</t>
  </si>
  <si>
    <t xml:space="preserve">Acréscimo da DTP</t>
  </si>
  <si>
    <t xml:space="preserve">Índice com acréscimo</t>
  </si>
  <si>
    <t xml:space="preserve">Variação no índice</t>
  </si>
  <si>
    <t xml:space="preserve">IMPACTO DA DESPESA NA META DE RESULTADO PRIMÁRIO</t>
  </si>
  <si>
    <t xml:space="preserve">Meta de Resultado Primário</t>
  </si>
  <si>
    <t xml:space="preserve">(-) Impacto na meta de Resultado Primário</t>
  </si>
  <si>
    <t xml:space="preserve">(=) Resultado Primário com a nova despesa</t>
  </si>
  <si>
    <t xml:space="preserve">SUFICIÊNCIA DE DOTAÇÃO</t>
  </si>
  <si>
    <t xml:space="preserve">Último mês empenhado</t>
  </si>
  <si>
    <t xml:space="preserve">Saldo da dotação de pessoal</t>
  </si>
  <si>
    <t xml:space="preserve">Valor total empenhado para pessoal</t>
  </si>
  <si>
    <t xml:space="preserve">Valor a empenhar</t>
  </si>
  <si>
    <t xml:space="preserve">Impacto orçamentário</t>
  </si>
  <si>
    <t xml:space="preserve">Insuficiência de dotação</t>
  </si>
  <si>
    <t xml:space="preserve">DOTAÇÃO ORÇAMENTÁRIA</t>
  </si>
  <si>
    <t xml:space="preserve">UO.Fun/SubFun/Prog.ProjAtiv/NDO/RV</t>
  </si>
  <si>
    <t xml:space="preserve">Acesso</t>
  </si>
  <si>
    <t xml:space="preserve">Crédito Adicional</t>
  </si>
  <si>
    <t xml:space="preserve">05.02.12.361.0018.2014.319004.0020</t>
  </si>
  <si>
    <t xml:space="preserve">Independência, RS, em </t>
  </si>
  <si>
    <t xml:space="preserve">EVERTON DA ROSA</t>
  </si>
  <si>
    <t xml:space="preserve">Contador CRC nº RS-076595/O-3</t>
  </si>
  <si>
    <t xml:space="preserve">Responsável pela elaboração</t>
  </si>
  <si>
    <t xml:space="preserve">DECLARAÇÃO DO ORDENADOR DE DESPESA</t>
  </si>
  <si>
    <t xml:space="preserve">Independência, RS, em _____/_______/_______</t>
  </si>
  <si>
    <t xml:space="preserve">JOÃO EDÉCIO GRAEF</t>
  </si>
  <si>
    <t xml:space="preserve">Prefeito Municipal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</si>
</sst>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R$-416]\ #,##0.00;[RED]\-[$R$-416]\ #,##0.00"/>
    <numFmt numFmtId="166" formatCode="#,##0.00"/>
    <numFmt numFmtId="167" formatCode="0.00%"/>
    <numFmt numFmtId="168" formatCode="#,##0"/>
    <numFmt numFmtId="169" formatCode="D&quot; de &quot;MMMM&quot; de &quot;YYYY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Mangal"/>
      <family val="2"/>
    </font>
    <font>
      <sz val="10"/>
      <name val="Mangal"/>
      <family val="2"/>
    </font>
    <font>
      <b val="tru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EEEEEE"/>
      </patternFill>
    </fill>
    <fill>
      <patternFill patternType="solid">
        <fgColor rgb="FF000000"/>
        <bgColor rgb="FF003300"/>
      </patternFill>
    </fill>
    <fill>
      <patternFill patternType="solid">
        <fgColor rgb="FFEEEEEE"/>
        <bgColor rgb="FFDDDDDD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10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Resultado" xfId="20" builtinId="53" customBuiltin="true"/>
    <cellStyle name="Resultado2" xfId="21" builtinId="53" customBuiltin="true"/>
    <cellStyle name="Título" xfId="22" builtinId="53" customBuiltin="true"/>
    <cellStyle name="Título1" xfId="23" builtinId="53" customBuiltin="tru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F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6" activeCellId="0" sqref="A36"/>
    </sheetView>
  </sheetViews>
  <sheetFormatPr defaultRowHeight="12.8" zeroHeight="false" outlineLevelRow="0" outlineLevelCol="0"/>
  <cols>
    <col collapsed="false" customWidth="true" hidden="false" outlineLevel="0" max="1" min="1" style="0" width="37.27"/>
    <col collapsed="false" customWidth="true" hidden="false" outlineLevel="0" max="2" min="2" style="0" width="13.14"/>
    <col collapsed="false" customWidth="true" hidden="false" outlineLevel="0" max="3" min="3" style="0" width="17.09"/>
    <col collapsed="false" customWidth="true" hidden="false" outlineLevel="0" max="4" min="4" style="0" width="12.71"/>
    <col collapsed="false" customWidth="true" hidden="false" outlineLevel="0" max="5" min="5" style="0" width="3.41"/>
    <col collapsed="false" customWidth="true" hidden="false" outlineLevel="0" max="6" min="6" style="0" width="18.78"/>
    <col collapsed="false" customWidth="false" hidden="false" outlineLevel="0" max="1025" min="7" style="0" width="11.52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2" t="s">
        <v>1</v>
      </c>
      <c r="F1" s="3" t="s">
        <v>2</v>
      </c>
    </row>
    <row r="2" customFormat="false" ht="12.8" hidden="false" customHeight="false" outlineLevel="0" collapsed="false">
      <c r="A2" s="1" t="s">
        <v>3</v>
      </c>
      <c r="B2" s="1"/>
      <c r="C2" s="1"/>
      <c r="D2" s="1"/>
      <c r="E2" s="1"/>
      <c r="F2" s="1"/>
    </row>
    <row r="4" customFormat="false" ht="12.8" hidden="false" customHeight="false" outlineLevel="0" collapsed="false">
      <c r="A4" s="1" t="s">
        <v>4</v>
      </c>
      <c r="B4" s="1"/>
      <c r="C4" s="1"/>
      <c r="D4" s="1"/>
      <c r="E4" s="1"/>
      <c r="F4" s="1"/>
    </row>
    <row r="6" customFormat="false" ht="12.8" hidden="false" customHeight="false" outlineLevel="0" collapsed="false">
      <c r="A6" s="4" t="s">
        <v>5</v>
      </c>
      <c r="B6" s="4"/>
      <c r="C6" s="4"/>
      <c r="D6" s="4"/>
      <c r="E6" s="4"/>
      <c r="F6" s="4"/>
    </row>
    <row r="7" customFormat="false" ht="12.8" hidden="false" customHeight="false" outlineLevel="0" collapsed="false">
      <c r="A7" s="5" t="s">
        <v>6</v>
      </c>
      <c r="B7" s="5" t="s">
        <v>7</v>
      </c>
      <c r="C7" s="1" t="s">
        <v>8</v>
      </c>
      <c r="D7" s="1"/>
      <c r="E7" s="1"/>
      <c r="F7" s="1"/>
    </row>
    <row r="8" customFormat="false" ht="12.8" hidden="false" customHeight="false" outlineLevel="0" collapsed="false">
      <c r="A8" s="6" t="s">
        <v>9</v>
      </c>
      <c r="B8" s="7" t="n">
        <v>1</v>
      </c>
      <c r="C8" s="8" t="n">
        <v>967.6</v>
      </c>
      <c r="D8" s="8"/>
      <c r="E8" s="8"/>
      <c r="F8" s="8"/>
    </row>
    <row r="9" customFormat="false" ht="12.8" hidden="false" customHeight="false" outlineLevel="0" collapsed="false">
      <c r="B9" s="5" t="n">
        <v>2017</v>
      </c>
      <c r="C9" s="5" t="n">
        <f aca="false">B9+1</f>
        <v>2018</v>
      </c>
      <c r="D9" s="5" t="n">
        <f aca="false">C9+1</f>
        <v>2019</v>
      </c>
    </row>
    <row r="10" customFormat="false" ht="12.8" hidden="false" customHeight="false" outlineLevel="0" collapsed="false">
      <c r="A10" s="0" t="s">
        <v>10</v>
      </c>
      <c r="B10" s="9" t="n">
        <v>0.2</v>
      </c>
      <c r="C10" s="9" t="n">
        <v>0.2</v>
      </c>
      <c r="D10" s="9" t="n">
        <v>0.2</v>
      </c>
    </row>
    <row r="11" customFormat="false" ht="12.8" hidden="false" customHeight="false" outlineLevel="0" collapsed="false">
      <c r="A11" s="0" t="s">
        <v>11</v>
      </c>
      <c r="B11" s="9" t="n">
        <v>0</v>
      </c>
      <c r="C11" s="9" t="n">
        <v>0</v>
      </c>
      <c r="D11" s="9" t="n">
        <v>0</v>
      </c>
    </row>
    <row r="12" customFormat="false" ht="12.8" hidden="false" customHeight="false" outlineLevel="0" collapsed="false">
      <c r="A12" s="0" t="s">
        <v>12</v>
      </c>
      <c r="B12" s="9" t="n">
        <v>0</v>
      </c>
      <c r="C12" s="9" t="n">
        <v>0</v>
      </c>
      <c r="D12" s="9" t="n">
        <v>0</v>
      </c>
    </row>
    <row r="13" customFormat="false" ht="12.8" hidden="false" customHeight="false" outlineLevel="0" collapsed="false">
      <c r="A13" s="0" t="s">
        <v>13</v>
      </c>
      <c r="B13" s="10" t="n">
        <v>0</v>
      </c>
      <c r="C13" s="10" t="n">
        <f aca="false">B13</f>
        <v>0</v>
      </c>
      <c r="D13" s="10" t="n">
        <f aca="false">B13</f>
        <v>0</v>
      </c>
    </row>
    <row r="14" customFormat="false" ht="12.8" hidden="false" customHeight="false" outlineLevel="0" collapsed="false">
      <c r="A14" s="0" t="s">
        <v>14</v>
      </c>
      <c r="B14" s="6" t="n">
        <v>7</v>
      </c>
      <c r="C14" s="6" t="n">
        <v>1</v>
      </c>
      <c r="D14" s="6" t="n">
        <v>0</v>
      </c>
    </row>
    <row r="15" customFormat="false" ht="12.8" hidden="false" customHeight="false" outlineLevel="0" collapsed="false">
      <c r="A15" s="0" t="s">
        <v>15</v>
      </c>
      <c r="B15" s="6" t="n">
        <v>12</v>
      </c>
      <c r="C15" s="6" t="n">
        <v>6</v>
      </c>
      <c r="D15" s="6" t="n">
        <v>-1</v>
      </c>
    </row>
    <row r="16" customFormat="false" ht="12.8" hidden="false" customHeight="false" outlineLevel="0" collapsed="false">
      <c r="A16" s="11" t="s">
        <v>16</v>
      </c>
      <c r="B16" s="12" t="n">
        <v>0</v>
      </c>
      <c r="C16" s="12" t="n">
        <v>0.0402</v>
      </c>
      <c r="D16" s="12" t="n">
        <v>0.0416</v>
      </c>
      <c r="E16" s="11"/>
      <c r="F16" s="11"/>
    </row>
    <row r="18" customFormat="false" ht="12.8" hidden="false" customHeight="false" outlineLevel="0" collapsed="false">
      <c r="A18" s="4" t="s">
        <v>17</v>
      </c>
      <c r="B18" s="4"/>
      <c r="C18" s="4"/>
      <c r="D18" s="4"/>
      <c r="E18" s="4"/>
      <c r="F18" s="4"/>
    </row>
    <row r="19" customFormat="false" ht="12.8" hidden="false" customHeight="false" outlineLevel="0" collapsed="false">
      <c r="A19" s="5" t="s">
        <v>18</v>
      </c>
      <c r="B19" s="5" t="n">
        <f aca="false">B9</f>
        <v>2017</v>
      </c>
      <c r="C19" s="5" t="n">
        <f aca="false">C9</f>
        <v>2018</v>
      </c>
      <c r="D19" s="5" t="n">
        <f aca="false">D9</f>
        <v>2019</v>
      </c>
    </row>
    <row r="20" customFormat="false" ht="12.8" hidden="false" customHeight="false" outlineLevel="0" collapsed="false">
      <c r="A20" s="6"/>
      <c r="B20" s="10"/>
      <c r="C20" s="10"/>
      <c r="D20" s="10"/>
    </row>
    <row r="21" customFormat="false" ht="12.8" hidden="false" customHeight="false" outlineLevel="0" collapsed="false">
      <c r="A21" s="6"/>
      <c r="B21" s="10"/>
      <c r="C21" s="10"/>
      <c r="D21" s="10"/>
    </row>
    <row r="22" customFormat="false" ht="12.8" hidden="false" customHeight="false" outlineLevel="0" collapsed="false">
      <c r="A22" s="13" t="s">
        <v>19</v>
      </c>
      <c r="B22" s="14" t="n">
        <f aca="false">SUM(B20:B21)</f>
        <v>0</v>
      </c>
      <c r="C22" s="14" t="n">
        <f aca="false">SUM(C20:C21)</f>
        <v>0</v>
      </c>
      <c r="D22" s="14" t="n">
        <f aca="false">SUM(D20:D21)</f>
        <v>0</v>
      </c>
      <c r="E22" s="11"/>
      <c r="F22" s="11"/>
    </row>
    <row r="24" customFormat="false" ht="12.8" hidden="false" customHeight="false" outlineLevel="0" collapsed="false">
      <c r="A24" s="4" t="s">
        <v>20</v>
      </c>
      <c r="B24" s="4"/>
      <c r="C24" s="4"/>
      <c r="D24" s="4"/>
      <c r="E24" s="4"/>
      <c r="F24" s="4"/>
    </row>
    <row r="25" customFormat="false" ht="12.8" hidden="false" customHeight="false" outlineLevel="0" collapsed="false">
      <c r="B25" s="5" t="n">
        <f aca="false">B9</f>
        <v>2017</v>
      </c>
      <c r="C25" s="5" t="n">
        <f aca="false">C9</f>
        <v>2018</v>
      </c>
      <c r="D25" s="5" t="n">
        <f aca="false">D9</f>
        <v>2019</v>
      </c>
    </row>
    <row r="26" customFormat="false" ht="12.8" hidden="false" customHeight="false" outlineLevel="0" collapsed="false">
      <c r="A26" s="0" t="s">
        <v>21</v>
      </c>
      <c r="B26" s="15" t="n">
        <f aca="false">($C$8*(B15-B14+1))*B8</f>
        <v>5805.6</v>
      </c>
      <c r="C26" s="15" t="n">
        <f aca="false">($C$8*$B$8*(C15-C14+1))*(1+C16)</f>
        <v>6038.98512</v>
      </c>
      <c r="D26" s="15" t="n">
        <f aca="false">($C$8*$B$8*(D15-D14+1))*(1+C16)*(1+D16)</f>
        <v>0</v>
      </c>
    </row>
    <row r="27" customFormat="false" ht="12.8" hidden="false" customHeight="false" outlineLevel="0" collapsed="false">
      <c r="A27" s="0" t="s">
        <v>22</v>
      </c>
      <c r="B27" s="15" t="n">
        <f aca="false">B26/3</f>
        <v>1935.2</v>
      </c>
      <c r="C27" s="15" t="n">
        <f aca="false">C26/3</f>
        <v>2012.99504</v>
      </c>
      <c r="D27" s="15" t="n">
        <f aca="false">D26/3</f>
        <v>0</v>
      </c>
    </row>
    <row r="28" customFormat="false" ht="12.8" hidden="false" customHeight="false" outlineLevel="0" collapsed="false">
      <c r="A28" s="0" t="s">
        <v>23</v>
      </c>
      <c r="B28" s="15" t="n">
        <f aca="false">B26/12</f>
        <v>483.8</v>
      </c>
      <c r="C28" s="15" t="n">
        <f aca="false">C26/12</f>
        <v>503.24876</v>
      </c>
      <c r="D28" s="15" t="n">
        <f aca="false">D26/12</f>
        <v>0</v>
      </c>
    </row>
    <row r="29" customFormat="false" ht="12.8" hidden="false" customHeight="false" outlineLevel="0" collapsed="false">
      <c r="A29" s="0" t="s">
        <v>24</v>
      </c>
      <c r="B29" s="15" t="n">
        <f aca="false">SUM(B26:B28)*B10</f>
        <v>1644.92</v>
      </c>
      <c r="C29" s="15" t="n">
        <f aca="false">SUM(C26:C28)*C10</f>
        <v>1711.045784</v>
      </c>
      <c r="D29" s="15" t="n">
        <f aca="false">SUM(D26:D28)*D10</f>
        <v>0</v>
      </c>
    </row>
    <row r="30" customFormat="false" ht="12.8" hidden="false" customHeight="false" outlineLevel="0" collapsed="false">
      <c r="A30" s="0" t="s">
        <v>25</v>
      </c>
      <c r="B30" s="15" t="n">
        <f aca="false">SUM(B26:B28)*B11</f>
        <v>0</v>
      </c>
      <c r="C30" s="15" t="n">
        <f aca="false">SUM(C26:C28)*C11</f>
        <v>0</v>
      </c>
      <c r="D30" s="15" t="n">
        <f aca="false">SUM(D26:D28)*D11</f>
        <v>0</v>
      </c>
    </row>
    <row r="31" customFormat="false" ht="12.8" hidden="false" customHeight="false" outlineLevel="0" collapsed="false">
      <c r="A31" s="0" t="s">
        <v>26</v>
      </c>
      <c r="B31" s="15" t="n">
        <f aca="false">SUM(B26:B28)*B12</f>
        <v>0</v>
      </c>
      <c r="C31" s="15" t="n">
        <f aca="false">SUM(C26:C28)*C12</f>
        <v>0</v>
      </c>
      <c r="D31" s="15" t="n">
        <f aca="false">SUM(D26:D28)*D12</f>
        <v>0</v>
      </c>
    </row>
    <row r="32" customFormat="false" ht="12.8" hidden="false" customHeight="false" outlineLevel="0" collapsed="false">
      <c r="A32" s="0" t="s">
        <v>27</v>
      </c>
      <c r="B32" s="15" t="n">
        <f aca="false">B22</f>
        <v>0</v>
      </c>
      <c r="C32" s="15" t="n">
        <f aca="false">C22</f>
        <v>0</v>
      </c>
      <c r="D32" s="15" t="n">
        <f aca="false">D22</f>
        <v>0</v>
      </c>
    </row>
    <row r="33" customFormat="false" ht="12.8" hidden="false" customHeight="false" outlineLevel="0" collapsed="false">
      <c r="A33" s="13" t="s">
        <v>28</v>
      </c>
      <c r="B33" s="14" t="n">
        <f aca="false">B26+B27+B28+B29+B30+B31-B32</f>
        <v>9869.52</v>
      </c>
      <c r="C33" s="14" t="n">
        <f aca="false">C26+C27+C28+C29+C30+C31-C32</f>
        <v>10266.274704</v>
      </c>
      <c r="D33" s="14" t="n">
        <f aca="false">D26+D27+D28+D29+D30+D31-D32</f>
        <v>0</v>
      </c>
      <c r="E33" s="11"/>
      <c r="F33" s="11"/>
    </row>
    <row r="35" customFormat="false" ht="12.8" hidden="false" customHeight="false" outlineLevel="0" collapsed="false">
      <c r="A35" s="4" t="s">
        <v>29</v>
      </c>
      <c r="B35" s="4"/>
      <c r="C35" s="4"/>
      <c r="D35" s="4"/>
      <c r="E35" s="4"/>
      <c r="F35" s="4"/>
    </row>
    <row r="36" customFormat="false" ht="12.8" hidden="false" customHeight="false" outlineLevel="0" collapsed="false">
      <c r="B36" s="5" t="n">
        <f aca="false">B25</f>
        <v>2017</v>
      </c>
      <c r="C36" s="5" t="n">
        <f aca="false">C25</f>
        <v>2018</v>
      </c>
      <c r="D36" s="5" t="n">
        <f aca="false">D25</f>
        <v>2019</v>
      </c>
    </row>
    <row r="37" customFormat="false" ht="12.8" hidden="false" customHeight="false" outlineLevel="0" collapsed="false">
      <c r="A37" s="0" t="s">
        <v>30</v>
      </c>
      <c r="B37" s="15" t="n">
        <f aca="false">B33</f>
        <v>9869.52</v>
      </c>
      <c r="C37" s="15" t="n">
        <f aca="false">C33</f>
        <v>10266.274704</v>
      </c>
      <c r="D37" s="15" t="n">
        <f aca="false">D33</f>
        <v>0</v>
      </c>
    </row>
    <row r="38" customFormat="false" ht="12.8" hidden="false" customHeight="false" outlineLevel="0" collapsed="false">
      <c r="A38" s="0" t="s">
        <v>31</v>
      </c>
      <c r="B38" s="15" t="n">
        <f aca="false">B13*(B15-B14+2)</f>
        <v>0</v>
      </c>
      <c r="C38" s="15" t="n">
        <f aca="false">C13*(C15-C14+2)</f>
        <v>0</v>
      </c>
      <c r="D38" s="15" t="n">
        <f aca="false">D13*(D15-D14+2)</f>
        <v>0</v>
      </c>
    </row>
    <row r="39" customFormat="false" ht="12.8" hidden="false" customHeight="false" outlineLevel="0" collapsed="false">
      <c r="A39" s="13" t="s">
        <v>32</v>
      </c>
      <c r="B39" s="14" t="n">
        <f aca="false">B37-B38</f>
        <v>9869.52</v>
      </c>
      <c r="C39" s="14" t="n">
        <f aca="false">C37-C38</f>
        <v>10266.274704</v>
      </c>
      <c r="D39" s="14" t="n">
        <f aca="false">D37-D38</f>
        <v>0</v>
      </c>
      <c r="E39" s="11"/>
      <c r="F39" s="11"/>
    </row>
    <row r="41" customFormat="false" ht="12.8" hidden="false" customHeight="false" outlineLevel="0" collapsed="false">
      <c r="A41" s="4" t="s">
        <v>33</v>
      </c>
      <c r="B41" s="4"/>
      <c r="C41" s="4"/>
      <c r="D41" s="4"/>
      <c r="E41" s="4"/>
      <c r="F41" s="4"/>
    </row>
    <row r="42" customFormat="false" ht="12.8" hidden="false" customHeight="false" outlineLevel="0" collapsed="false">
      <c r="A42" s="0" t="s">
        <v>34</v>
      </c>
      <c r="B42" s="10" t="n">
        <v>18230094.81</v>
      </c>
    </row>
    <row r="43" customFormat="false" ht="12.8" hidden="false" customHeight="false" outlineLevel="0" collapsed="false">
      <c r="A43" s="0" t="s">
        <v>35</v>
      </c>
      <c r="B43" s="10" t="n">
        <v>8785462.93</v>
      </c>
    </row>
    <row r="44" customFormat="false" ht="12.8" hidden="false" customHeight="false" outlineLevel="0" collapsed="false">
      <c r="A44" s="0" t="s">
        <v>36</v>
      </c>
      <c r="B44" s="16" t="n">
        <f aca="false">B43/B42</f>
        <v>0.481920857876219</v>
      </c>
    </row>
    <row r="45" customFormat="false" ht="12.8" hidden="false" customHeight="false" outlineLevel="0" collapsed="false">
      <c r="A45" s="0" t="s">
        <v>37</v>
      </c>
      <c r="B45" s="15" t="n">
        <f aca="false">B33-B31</f>
        <v>9869.52</v>
      </c>
      <c r="C45" s="15"/>
      <c r="D45" s="15"/>
    </row>
    <row r="46" customFormat="false" ht="12.8" hidden="false" customHeight="false" outlineLevel="0" collapsed="false">
      <c r="A46" s="0" t="s">
        <v>38</v>
      </c>
      <c r="B46" s="16" t="n">
        <f aca="false">(B43+B45)/B42</f>
        <v>0.482462243979959</v>
      </c>
    </row>
    <row r="47" customFormat="false" ht="12.8" hidden="false" customHeight="false" outlineLevel="0" collapsed="false">
      <c r="A47" s="11" t="s">
        <v>39</v>
      </c>
      <c r="B47" s="17" t="n">
        <f aca="false">B46-B44</f>
        <v>0.000541386103739716</v>
      </c>
      <c r="C47" s="11"/>
      <c r="D47" s="11"/>
      <c r="E47" s="11"/>
      <c r="F47" s="11"/>
    </row>
    <row r="49" customFormat="false" ht="12.8" hidden="false" customHeight="false" outlineLevel="0" collapsed="false">
      <c r="A49" s="4" t="s">
        <v>40</v>
      </c>
      <c r="B49" s="4"/>
      <c r="C49" s="4"/>
      <c r="D49" s="4"/>
      <c r="E49" s="4"/>
      <c r="F49" s="4"/>
    </row>
    <row r="50" customFormat="false" ht="12.8" hidden="false" customHeight="false" outlineLevel="0" collapsed="false">
      <c r="B50" s="5" t="n">
        <f aca="false">B36</f>
        <v>2017</v>
      </c>
      <c r="C50" s="5" t="n">
        <f aca="false">C36</f>
        <v>2018</v>
      </c>
      <c r="D50" s="5" t="n">
        <f aca="false">D36</f>
        <v>2019</v>
      </c>
    </row>
    <row r="51" customFormat="false" ht="12.8" hidden="false" customHeight="false" outlineLevel="0" collapsed="false">
      <c r="A51" s="0" t="s">
        <v>41</v>
      </c>
      <c r="B51" s="10" t="n">
        <v>-1092659</v>
      </c>
      <c r="C51" s="10" t="n">
        <v>-1274473.12</v>
      </c>
      <c r="D51" s="10" t="n">
        <v>-1333059.83</v>
      </c>
    </row>
    <row r="52" customFormat="false" ht="12.8" hidden="false" customHeight="false" outlineLevel="0" collapsed="false">
      <c r="A52" s="0" t="s">
        <v>42</v>
      </c>
      <c r="B52" s="15" t="n">
        <f aca="false">B39</f>
        <v>9869.52</v>
      </c>
      <c r="C52" s="15" t="n">
        <f aca="false">C39</f>
        <v>10266.274704</v>
      </c>
      <c r="D52" s="15" t="n">
        <f aca="false">D39</f>
        <v>0</v>
      </c>
    </row>
    <row r="53" customFormat="false" ht="12.8" hidden="false" customHeight="false" outlineLevel="0" collapsed="false">
      <c r="A53" s="11" t="s">
        <v>43</v>
      </c>
      <c r="B53" s="18" t="n">
        <f aca="false">B51-B52</f>
        <v>-1102528.52</v>
      </c>
      <c r="C53" s="18" t="n">
        <f aca="false">C51-C52</f>
        <v>-1284739.394704</v>
      </c>
      <c r="D53" s="18" t="n">
        <f aca="false">D51-D52</f>
        <v>-1333059.83</v>
      </c>
      <c r="E53" s="11"/>
      <c r="F53" s="11"/>
    </row>
    <row r="54" customFormat="false" ht="12.8" hidden="false" customHeight="false" outlineLevel="0" collapsed="false">
      <c r="A54" s="19"/>
      <c r="B54" s="20"/>
      <c r="C54" s="20"/>
      <c r="D54" s="20"/>
      <c r="E54" s="19"/>
      <c r="F54" s="19"/>
    </row>
    <row r="55" customFormat="false" ht="12.8" hidden="false" customHeight="false" outlineLevel="0" collapsed="false">
      <c r="A55" s="4" t="s">
        <v>44</v>
      </c>
      <c r="B55" s="4"/>
      <c r="C55" s="4"/>
      <c r="D55" s="4"/>
      <c r="E55" s="4"/>
      <c r="F55" s="4"/>
    </row>
    <row r="56" customFormat="false" ht="12.8" hidden="false" customHeight="false" outlineLevel="0" collapsed="false">
      <c r="B56" s="21" t="n">
        <f aca="false">B50</f>
        <v>2017</v>
      </c>
      <c r="C56" s="21" t="n">
        <f aca="false">C50</f>
        <v>2018</v>
      </c>
      <c r="D56" s="21" t="n">
        <f aca="false">D50</f>
        <v>2019</v>
      </c>
    </row>
    <row r="57" customFormat="false" ht="12.8" hidden="false" customHeight="false" outlineLevel="0" collapsed="false">
      <c r="A57" s="0" t="s">
        <v>45</v>
      </c>
      <c r="B57" s="22" t="n">
        <v>5</v>
      </c>
      <c r="C57" s="23"/>
      <c r="D57" s="23"/>
    </row>
    <row r="58" customFormat="false" ht="12.8" hidden="false" customHeight="false" outlineLevel="0" collapsed="false">
      <c r="A58" s="24" t="s">
        <v>46</v>
      </c>
      <c r="B58" s="25" t="n">
        <v>7232106.25</v>
      </c>
      <c r="C58" s="23"/>
      <c r="D58" s="23"/>
    </row>
    <row r="59" customFormat="false" ht="12.8" hidden="false" customHeight="false" outlineLevel="0" collapsed="false">
      <c r="A59" s="24" t="s">
        <v>47</v>
      </c>
      <c r="B59" s="25" t="n">
        <v>4119200.11</v>
      </c>
      <c r="C59" s="23"/>
      <c r="D59" s="23"/>
    </row>
    <row r="60" customFormat="false" ht="12.8" hidden="false" customHeight="false" outlineLevel="0" collapsed="false">
      <c r="A60" s="24" t="s">
        <v>48</v>
      </c>
      <c r="B60" s="23" t="n">
        <f aca="false">B59/B57*(13-B57)</f>
        <v>6590720.176</v>
      </c>
      <c r="C60" s="23"/>
      <c r="D60" s="23"/>
    </row>
    <row r="61" customFormat="false" ht="12.8" hidden="false" customHeight="false" outlineLevel="0" collapsed="false">
      <c r="A61" s="24" t="s">
        <v>49</v>
      </c>
      <c r="B61" s="23" t="n">
        <f aca="false">B33</f>
        <v>9869.52</v>
      </c>
      <c r="C61" s="23"/>
      <c r="D61" s="23"/>
    </row>
    <row r="62" customFormat="false" ht="12.8" hidden="false" customHeight="false" outlineLevel="0" collapsed="false">
      <c r="A62" s="26" t="s">
        <v>50</v>
      </c>
      <c r="B62" s="27" t="n">
        <f aca="false">IF(B60+B61&gt;B58,B60+B61-B58,0)</f>
        <v>0</v>
      </c>
      <c r="C62" s="27"/>
      <c r="D62" s="27"/>
      <c r="E62" s="11"/>
      <c r="F62" s="11"/>
    </row>
    <row r="64" customFormat="false" ht="12.8" hidden="false" customHeight="false" outlineLevel="0" collapsed="false">
      <c r="A64" s="4" t="s">
        <v>51</v>
      </c>
      <c r="B64" s="4"/>
      <c r="C64" s="4"/>
      <c r="D64" s="4"/>
      <c r="E64" s="4"/>
      <c r="F64" s="4"/>
    </row>
    <row r="65" customFormat="false" ht="12.8" hidden="false" customHeight="false" outlineLevel="0" collapsed="false">
      <c r="A65" s="5" t="s">
        <v>52</v>
      </c>
      <c r="B65" s="28" t="s">
        <v>53</v>
      </c>
      <c r="C65" s="5" t="s">
        <v>54</v>
      </c>
    </row>
    <row r="66" customFormat="false" ht="12.8" hidden="false" customHeight="false" outlineLevel="0" collapsed="false">
      <c r="A66" s="29" t="s">
        <v>55</v>
      </c>
      <c r="B66" s="30" t="n">
        <v>450</v>
      </c>
      <c r="C66" s="10" t="n">
        <v>0</v>
      </c>
    </row>
    <row r="67" customFormat="false" ht="12.8" hidden="false" customHeight="false" outlineLevel="0" collapsed="false">
      <c r="A67" s="29"/>
      <c r="B67" s="30"/>
      <c r="C67" s="10"/>
    </row>
    <row r="68" customFormat="false" ht="12.8" hidden="false" customHeight="false" outlineLevel="0" collapsed="false">
      <c r="A68" s="29"/>
      <c r="B68" s="30"/>
      <c r="C68" s="10"/>
    </row>
    <row r="69" customFormat="false" ht="12.8" hidden="false" customHeight="false" outlineLevel="0" collapsed="false">
      <c r="A69" s="6"/>
      <c r="B69" s="30"/>
      <c r="C69" s="10"/>
    </row>
    <row r="70" customFormat="false" ht="12.8" hidden="false" customHeight="false" outlineLevel="0" collapsed="false">
      <c r="A70" s="13" t="s">
        <v>19</v>
      </c>
      <c r="B70" s="14"/>
      <c r="C70" s="14" t="n">
        <f aca="false">SUM(C66:C69)</f>
        <v>0</v>
      </c>
      <c r="D70" s="13"/>
      <c r="E70" s="13"/>
      <c r="F70" s="13"/>
    </row>
    <row r="71" customFormat="false" ht="12.8" hidden="false" customHeight="false" outlineLevel="0" collapsed="false">
      <c r="B71" s="15"/>
    </row>
    <row r="72" customFormat="false" ht="12.8" hidden="false" customHeight="false" outlineLevel="0" collapsed="false">
      <c r="A72" s="31" t="s">
        <v>56</v>
      </c>
      <c r="B72" s="31"/>
      <c r="C72" s="31"/>
      <c r="D72" s="31"/>
      <c r="E72" s="31"/>
      <c r="F72" s="32" t="n">
        <f aca="true">TODAY()</f>
        <v>42920</v>
      </c>
    </row>
    <row r="73" customFormat="false" ht="12.8" hidden="false" customHeight="false" outlineLevel="0" collapsed="false">
      <c r="B73" s="15"/>
    </row>
    <row r="74" customFormat="false" ht="12.8" hidden="false" customHeight="false" outlineLevel="0" collapsed="false">
      <c r="B74" s="15"/>
    </row>
    <row r="75" customFormat="false" ht="12.8" hidden="false" customHeight="false" outlineLevel="0" collapsed="false">
      <c r="B75" s="15"/>
      <c r="D75" s="33" t="s">
        <v>57</v>
      </c>
      <c r="E75" s="33"/>
      <c r="F75" s="33"/>
    </row>
    <row r="76" customFormat="false" ht="12.8" hidden="false" customHeight="false" outlineLevel="0" collapsed="false">
      <c r="B76" s="15"/>
      <c r="D76" s="34" t="s">
        <v>58</v>
      </c>
      <c r="E76" s="34"/>
      <c r="F76" s="34"/>
    </row>
    <row r="77" customFormat="false" ht="12.8" hidden="false" customHeight="false" outlineLevel="0" collapsed="false">
      <c r="A77" s="11"/>
      <c r="B77" s="18"/>
      <c r="C77" s="11"/>
      <c r="D77" s="35" t="s">
        <v>59</v>
      </c>
      <c r="E77" s="35"/>
      <c r="F77" s="35"/>
    </row>
    <row r="79" customFormat="false" ht="12.8" hidden="false" customHeight="false" outlineLevel="0" collapsed="false">
      <c r="A79" s="36" t="s">
        <v>60</v>
      </c>
      <c r="B79" s="36"/>
      <c r="C79" s="36"/>
      <c r="D79" s="36"/>
      <c r="E79" s="36"/>
      <c r="F79" s="36"/>
    </row>
    <row r="80" customFormat="false" ht="35.05" hidden="false" customHeight="false" outlineLevel="0" collapsed="false">
      <c r="A80" s="37" t="str">
        <f aca="false">_xlfn.CONCAT("Para os fins do inciso II do art. 16 da lei Complementar Federal nº 101/2000, DECLARO que o aumento ",IF(C70=0,"tem", "terá com a aprovação do crédito adicional")," adequação orçamentária e financeira com a Lei Orçamentária Anual e compatibilidade com o Plano Plurianual e com a Lei de Diretrizes Orçamentárias.")</f>
        <v>Para os fins do inciso II do art. 16 da lei Complementar Federal nº 101/2000, DECLARO que o aumento tem adequação orçamentária e financeira com a Lei Orçamentária Anual e compatibilidade com o Plano Plurianual e com a Lei de Diretrizes Orçamentárias.</v>
      </c>
      <c r="B80" s="37"/>
      <c r="C80" s="37"/>
      <c r="D80" s="37"/>
      <c r="E80" s="37"/>
      <c r="F80" s="37"/>
    </row>
    <row r="81" customFormat="false" ht="12.8" hidden="false" customHeight="false" outlineLevel="0" collapsed="false">
      <c r="A81" s="38"/>
      <c r="F81" s="39"/>
    </row>
    <row r="82" customFormat="false" ht="12.8" hidden="false" customHeight="false" outlineLevel="0" collapsed="false">
      <c r="A82" s="40" t="s">
        <v>61</v>
      </c>
      <c r="B82" s="40"/>
      <c r="C82" s="40"/>
      <c r="D82" s="40"/>
      <c r="E82" s="40"/>
      <c r="F82" s="40"/>
    </row>
    <row r="83" customFormat="false" ht="12.8" hidden="false" customHeight="false" outlineLevel="0" collapsed="false">
      <c r="A83" s="38"/>
      <c r="B83" s="15"/>
      <c r="F83" s="39"/>
    </row>
    <row r="84" customFormat="false" ht="12.8" hidden="false" customHeight="false" outlineLevel="0" collapsed="false">
      <c r="A84" s="38"/>
      <c r="B84" s="15"/>
      <c r="F84" s="39"/>
    </row>
    <row r="85" customFormat="false" ht="12.8" hidden="false" customHeight="false" outlineLevel="0" collapsed="false">
      <c r="A85" s="38"/>
      <c r="B85" s="15"/>
      <c r="D85" s="41" t="s">
        <v>62</v>
      </c>
      <c r="E85" s="41"/>
      <c r="F85" s="41"/>
    </row>
    <row r="86" customFormat="false" ht="12.8" hidden="false" customHeight="false" outlineLevel="0" collapsed="false">
      <c r="A86" s="42"/>
      <c r="B86" s="18"/>
      <c r="C86" s="11"/>
      <c r="D86" s="43" t="s">
        <v>63</v>
      </c>
      <c r="E86" s="43"/>
      <c r="F86" s="43"/>
    </row>
  </sheetData>
  <mergeCells count="22">
    <mergeCell ref="A1:D1"/>
    <mergeCell ref="A2:F2"/>
    <mergeCell ref="A4:F4"/>
    <mergeCell ref="A6:F6"/>
    <mergeCell ref="C7:F7"/>
    <mergeCell ref="C8:F8"/>
    <mergeCell ref="A18:F18"/>
    <mergeCell ref="A24:F24"/>
    <mergeCell ref="A35:F35"/>
    <mergeCell ref="A41:F41"/>
    <mergeCell ref="A49:F49"/>
    <mergeCell ref="A55:F55"/>
    <mergeCell ref="A64:F64"/>
    <mergeCell ref="A72:E72"/>
    <mergeCell ref="D75:F75"/>
    <mergeCell ref="D76:F76"/>
    <mergeCell ref="D77:F77"/>
    <mergeCell ref="A79:F79"/>
    <mergeCell ref="A80:F80"/>
    <mergeCell ref="A82:F82"/>
    <mergeCell ref="D85:F85"/>
    <mergeCell ref="D86:F86"/>
  </mergeCells>
  <printOptions headings="false" gridLines="false" gridLinesSet="true" horizontalCentered="true" verticalCentered="false"/>
  <pageMargins left="0.7875" right="0.7875" top="0.618055555555556" bottom="0.346527777777778" header="0.241666666666667" footer="0.51180555555555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&amp;CEstado do Rio Grande do Sul
MUNICÍPIO DE INDEPENDÊNCIA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LibreOffice/5.3.3.2$Linux_X86_64 LibreOffice_project/3d9a8b4b4e538a85e0782bd6c2d430bafe583448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2017-03-28T09:34:58Z</dcterms:created>
  <dc:creator>Everton da Rosa</dc:creator>
  <dc:description/>
  <dc:language>pt-BR</dc:language>
  <cp:lastModifiedBy>Everton da Rosa</cp:lastModifiedBy>
  <cp:lastPrinted>2017-06-21T09:33:59Z</cp:lastPrinted>
  <dcterms:modified xsi:type="dcterms:W3CDTF">2017-07-04T15:20:21Z</dcterms:modified>
  <cp:revision>16</cp:revision>
  <dc:subject/>
  <dc:title/>
</cp:coreProperties>
</file>